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Cen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Name</t>
        </is>
      </c>
      <c r="B1" s="1" t="inlineStr">
        <is>
          <t>Mu(kN.m)</t>
        </is>
      </c>
      <c r="C1" s="1" t="inlineStr">
        <is>
          <t>Vu(kN)</t>
        </is>
      </c>
      <c r="D1" s="1" t="inlineStr">
        <is>
          <t>Nu(kN)</t>
        </is>
      </c>
      <c r="E1" s="1" t="inlineStr">
        <is>
          <t>Ms(kN.m)</t>
        </is>
      </c>
      <c r="F1" s="1" t="inlineStr">
        <is>
          <t>H(mm)</t>
        </is>
      </c>
      <c r="G1" s="1" t="inlineStr">
        <is>
          <t>B(mm)</t>
        </is>
      </c>
      <c r="H1" s="1" t="inlineStr">
        <is>
          <t>Dc(mm)</t>
        </is>
      </c>
      <c r="I1" s="1" t="inlineStr">
        <is>
          <t>As_Dia</t>
        </is>
      </c>
      <c r="J1" s="1" t="inlineStr">
        <is>
          <t>As_Num</t>
        </is>
      </c>
      <c r="K1" s="1" t="inlineStr">
        <is>
          <t>As_req(mm2)</t>
        </is>
      </c>
      <c r="L1" s="1" t="inlineStr">
        <is>
          <t>As_used(mm2)</t>
        </is>
      </c>
      <c r="M1" s="1" t="inlineStr">
        <is>
          <t>Ratio</t>
        </is>
      </c>
      <c r="N1" s="1" t="inlineStr">
        <is>
          <t>Result</t>
        </is>
      </c>
    </row>
    <row r="2">
      <c r="A2" t="inlineStr">
        <is>
          <t>Center</t>
        </is>
      </c>
      <c r="B2" t="n">
        <v>1000</v>
      </c>
      <c r="C2" t="n">
        <v>50</v>
      </c>
      <c r="D2" t="n">
        <v>5</v>
      </c>
      <c r="E2" t="n">
        <v>80</v>
      </c>
      <c r="F2" t="n">
        <v>800</v>
      </c>
      <c r="G2" t="n">
        <v>1000</v>
      </c>
      <c r="H2" t="n">
        <v>80</v>
      </c>
      <c r="I2" t="n">
        <v>29</v>
      </c>
      <c r="J2" t="n">
        <v>8</v>
      </c>
      <c r="K2" t="n">
        <v>4253.9</v>
      </c>
      <c r="L2" t="n">
        <v>5139.2</v>
      </c>
      <c r="M2" t="n">
        <v>1.208</v>
      </c>
      <c r="N2" t="inlineStr">
        <is>
          <t>O.K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>
        <f>===========================================================</f>
        <v/>
      </c>
    </row>
    <row r="2">
      <c r="A2" t="inlineStr">
        <is>
          <t>1) 단면제원 및 설계가정</t>
        </is>
      </c>
    </row>
    <row r="3">
      <c r="A3">
        <f>===========================================================</f>
        <v/>
      </c>
    </row>
    <row r="4">
      <c r="A4" t="inlineStr">
        <is>
          <t>fck = 35.0 MPa, fy = 400.0 MPa, Øc = 0.85, Øs = 0.85, Es = 200000 MPa</t>
        </is>
      </c>
    </row>
    <row r="5">
      <c r="A5" t="inlineStr"/>
    </row>
    <row r="6">
      <c r="A6" t="inlineStr">
        <is>
          <t xml:space="preserve">  B = 1000.0 mm</t>
        </is>
      </c>
    </row>
    <row r="7">
      <c r="A7" t="inlineStr">
        <is>
          <t xml:space="preserve">  H = 800.0 mm</t>
        </is>
      </c>
    </row>
    <row r="8">
      <c r="A8" t="inlineStr">
        <is>
          <t xml:space="preserve">  d = 720.0 mm</t>
        </is>
      </c>
    </row>
    <row r="9">
      <c r="A9" t="inlineStr">
        <is>
          <t xml:space="preserve">  피복 = 80.0 mm</t>
        </is>
      </c>
    </row>
    <row r="10">
      <c r="A10" t="inlineStr">
        <is>
          <t xml:space="preserve">  Mu = 1,000,000,000 N.mm</t>
        </is>
      </c>
    </row>
    <row r="11">
      <c r="A11" t="inlineStr">
        <is>
          <t xml:space="preserve">  Vu = 50,000 N</t>
        </is>
      </c>
    </row>
    <row r="12">
      <c r="A12" t="inlineStr"/>
    </row>
    <row r="13">
      <c r="A13">
        <f>===========================================================</f>
        <v/>
      </c>
    </row>
    <row r="14">
      <c r="A14" t="inlineStr">
        <is>
          <t>2) 콘크리트 재료상수</t>
        </is>
      </c>
    </row>
    <row r="15">
      <c r="A15">
        <f>===========================================================</f>
        <v/>
      </c>
    </row>
    <row r="16">
      <c r="A16" t="inlineStr">
        <is>
          <t xml:space="preserve">  n (상승곡선부 형상지수)      = 2.0000</t>
        </is>
      </c>
    </row>
    <row r="17">
      <c r="A17" t="inlineStr">
        <is>
          <t xml:space="preserve">  εco,r (최대응력 변형률)      = 0.00200</t>
        </is>
      </c>
    </row>
    <row r="18">
      <c r="A18" t="inlineStr">
        <is>
          <t xml:space="preserve">  εcu,r (극한변형률)           = 0.00330</t>
        </is>
      </c>
    </row>
    <row r="19">
      <c r="A19" t="inlineStr">
        <is>
          <t xml:space="preserve">  αcc (유효계수)               = 0.85</t>
        </is>
      </c>
    </row>
    <row r="20">
      <c r="A20" t="inlineStr">
        <is>
          <t xml:space="preserve">  fcd (설계압축강도)           = 25.29 MPa</t>
        </is>
      </c>
    </row>
    <row r="21">
      <c r="A21" t="inlineStr">
        <is>
          <t xml:space="preserve">  fcm (평균압축강도)           = 39.00 MPa</t>
        </is>
      </c>
    </row>
    <row r="22">
      <c r="A22" t="inlineStr">
        <is>
          <t xml:space="preserve">  Ec (탄성계수)                = 32640.41 MPa</t>
        </is>
      </c>
    </row>
    <row r="23">
      <c r="A23" t="inlineStr">
        <is>
          <t xml:space="preserve">  α (압축합력 응력계수)        = 90.0000</t>
        </is>
      </c>
    </row>
    <row r="24">
      <c r="A24" t="inlineStr">
        <is>
          <t xml:space="preserve">  β (압축합력 위치계수)        = 0.4000</t>
        </is>
      </c>
    </row>
    <row r="25">
      <c r="A25" t="inlineStr">
        <is>
          <t xml:space="preserve">  η (등가응력블록 크기계수)    = 1.0000</t>
        </is>
      </c>
    </row>
    <row r="26">
      <c r="A26" t="inlineStr">
        <is>
          <t xml:space="preserve">  β1 (등가응력블록 깊이계수)   = 0.8000</t>
        </is>
      </c>
    </row>
    <row r="27">
      <c r="A27" t="inlineStr"/>
    </row>
    <row r="28">
      <c r="A28">
        <f>===========================================================</f>
        <v/>
      </c>
    </row>
    <row r="29">
      <c r="A29" t="inlineStr">
        <is>
          <t>3) 철근 재료상수</t>
        </is>
      </c>
    </row>
    <row r="30">
      <c r="A30">
        <f>===========================================================</f>
        <v/>
      </c>
    </row>
    <row r="31">
      <c r="A31" t="inlineStr">
        <is>
          <t xml:space="preserve">  fyd (설계인장강도)           = 340.00 MPa</t>
        </is>
      </c>
    </row>
    <row r="32">
      <c r="A32" t="inlineStr">
        <is>
          <t xml:space="preserve">  εyd (설계항복변형률)         = 0.001700</t>
        </is>
      </c>
    </row>
    <row r="33">
      <c r="A33" t="inlineStr"/>
    </row>
    <row r="34">
      <c r="A34">
        <f>===========================================================</f>
        <v/>
      </c>
    </row>
    <row r="35">
      <c r="A35" t="inlineStr">
        <is>
          <t>4) 필요철근량 산정</t>
        </is>
      </c>
    </row>
    <row r="36">
      <c r="A36">
        <f>===========================================================</f>
        <v/>
      </c>
    </row>
    <row r="37">
      <c r="A37" t="inlineStr">
        <is>
          <t xml:space="preserve">  Mu = As × fyd × (d - a/2)  -------- ①</t>
        </is>
      </c>
    </row>
    <row r="38">
      <c r="A38" t="inlineStr">
        <is>
          <t xml:space="preserve">   a = As × fyd / (η × fcd × b)  ---- ②</t>
        </is>
      </c>
    </row>
    <row r="39">
      <c r="A39" t="inlineStr">
        <is>
          <t xml:space="preserve">  식②를 식①에 대입하여 이차방정식으로 As를 구한다</t>
        </is>
      </c>
    </row>
    <row r="40">
      <c r="A40" t="inlineStr"/>
    </row>
    <row r="41">
      <c r="A41" t="inlineStr">
        <is>
          <t xml:space="preserve">  Asreq = 4253.9 mm²</t>
        </is>
      </c>
    </row>
    <row r="42">
      <c r="A42" t="inlineStr"/>
    </row>
    <row r="43">
      <c r="A43">
        <f>===========================================================</f>
        <v/>
      </c>
    </row>
    <row r="44">
      <c r="A44" t="inlineStr">
        <is>
          <t>5) 사용철근량</t>
        </is>
      </c>
    </row>
    <row r="45">
      <c r="A45">
        <f>===========================================================</f>
        <v/>
      </c>
    </row>
    <row r="46">
      <c r="A46" t="inlineStr">
        <is>
          <t xml:space="preserve">  Asuse = 5139.2 mm², 철근도심: dc = 80.0 mm</t>
        </is>
      </c>
    </row>
    <row r="47">
      <c r="A47" t="inlineStr">
        <is>
          <t xml:space="preserve">  사용율 = 1.208</t>
        </is>
      </c>
    </row>
    <row r="48">
      <c r="A48" t="inlineStr">
        <is>
          <t xml:space="preserve">  1단: H29 - 8 EA (= 5139.2 mm², dc1 = 80.0 mm)</t>
        </is>
      </c>
    </row>
    <row r="49">
      <c r="A49" t="inlineStr">
        <is>
          <t xml:space="preserve">  2단: H0 - 0 EA (= 0.0 mm², dc2 = 0.0 mm)</t>
        </is>
      </c>
    </row>
    <row r="50">
      <c r="A50" t="inlineStr">
        <is>
          <t xml:space="preserve">  3단: H0 - 0 EA (= 0.0 mm², dc3 = 0.0 mm)</t>
        </is>
      </c>
    </row>
    <row r="51">
      <c r="A51" t="inlineStr"/>
    </row>
    <row r="52">
      <c r="A52">
        <f>===========================================================</f>
        <v/>
      </c>
    </row>
    <row r="53">
      <c r="A53" t="inlineStr">
        <is>
          <t>6) 철근량 검토</t>
        </is>
      </c>
    </row>
    <row r="54">
      <c r="A54">
        <f>===========================================================</f>
        <v/>
      </c>
    </row>
    <row r="55">
      <c r="A55" t="inlineStr">
        <is>
          <t xml:space="preserve">  As,min = (0.25√fck / fy) × b × d = 2662.2 mm²</t>
        </is>
      </c>
    </row>
    <row r="56">
      <c r="A56" t="inlineStr">
        <is>
          <t xml:space="preserve">         = (1.4 / fy) × b × d = 2520.0 mm²</t>
        </is>
      </c>
    </row>
    <row r="57">
      <c r="A57" t="inlineStr">
        <is>
          <t xml:space="preserve">         = As_req × 4/3 = 5671.9 mm²</t>
        </is>
      </c>
    </row>
    <row r="58">
      <c r="A58" t="inlineStr">
        <is>
          <t xml:space="preserve">  As,use = 5139.2 mm² ≥ As,min = 2662.2 mm²  ∴ O.K</t>
        </is>
      </c>
    </row>
    <row r="59">
      <c r="A59" t="inlineStr">
        <is>
          <t xml:space="preserve">  As,max = 0.04 × b × d = 28800.0 mm² ≥ As,use  ∴ O.K</t>
        </is>
      </c>
    </row>
    <row r="60">
      <c r="A60" t="inlineStr"/>
    </row>
    <row r="61">
      <c r="A61">
        <f>===========================================================</f>
        <v/>
      </c>
    </row>
    <row r="62">
      <c r="A62" t="inlineStr">
        <is>
          <t>7) 중립축 깊이 검토</t>
        </is>
      </c>
    </row>
    <row r="63">
      <c r="A63">
        <f>===========================================================</f>
        <v/>
      </c>
    </row>
    <row r="64">
      <c r="A64" t="inlineStr">
        <is>
          <t xml:space="preserve">  Cmax = (δ × εcu / 0.0033 - 0.6) × d</t>
        </is>
      </c>
    </row>
    <row r="65">
      <c r="A65" t="inlineStr">
        <is>
          <t xml:space="preserve">       = (1.0 × 0.00330 / 0.0033 - 0.6) × 720.0 = 288.0 mm</t>
        </is>
      </c>
    </row>
    <row r="66">
      <c r="A66" t="inlineStr">
        <is>
          <t xml:space="preserve">  C = Φs × As × fy / (α × Φc × 0.85 × fck × b)</t>
        </is>
      </c>
    </row>
    <row r="67">
      <c r="A67" t="inlineStr">
        <is>
          <t xml:space="preserve">    = 0.85 × 5139.2 × 400.0 / (90.00 × 0.85 × 0.85 × 35.0 × 1000.0)</t>
        </is>
      </c>
    </row>
    <row r="68">
      <c r="A68" t="inlineStr">
        <is>
          <t xml:space="preserve">    = 86.4 mm &lt; Cmax = 288.0 mm  ∴ O.K</t>
        </is>
      </c>
    </row>
    <row r="69">
      <c r="A69" t="inlineStr"/>
    </row>
    <row r="70">
      <c r="A70">
        <f>===========================================================</f>
        <v/>
      </c>
    </row>
    <row r="71">
      <c r="A71" t="inlineStr">
        <is>
          <t>8) 인장철근 변형률</t>
        </is>
      </c>
    </row>
    <row r="72">
      <c r="A72">
        <f>===========================================================</f>
        <v/>
      </c>
    </row>
    <row r="73">
      <c r="A73" t="inlineStr">
        <is>
          <t xml:space="preserve">  εs = (d - C) / C × εcu</t>
        </is>
      </c>
    </row>
    <row r="74">
      <c r="A74" t="inlineStr">
        <is>
          <t xml:space="preserve">     = (720.0 - 86.4) / 86.4 × 0.00330 = 0.02421</t>
        </is>
      </c>
    </row>
    <row r="75">
      <c r="A75" t="inlineStr">
        <is>
          <t xml:space="preserve">  εyd = Φs × fy / Es</t>
        </is>
      </c>
    </row>
    <row r="76">
      <c r="A76" t="inlineStr">
        <is>
          <t xml:space="preserve">      = 0.85 × 400.0 / 200000 = 0.00170 ≤ εs  ∴ 항복가정 O.K</t>
        </is>
      </c>
    </row>
    <row r="77">
      <c r="A77" t="inlineStr"/>
    </row>
    <row r="78">
      <c r="A78">
        <f>===========================================================</f>
        <v/>
      </c>
    </row>
    <row r="79">
      <c r="A79" t="inlineStr">
        <is>
          <t>9) 설계 휨강도 산정</t>
        </is>
      </c>
    </row>
    <row r="80">
      <c r="A80">
        <f>===========================================================</f>
        <v/>
      </c>
    </row>
    <row r="81">
      <c r="A81" t="inlineStr">
        <is>
          <t xml:space="preserve">  Mr = As × Φs × fy × (d - β × c)</t>
        </is>
      </c>
    </row>
    <row r="82">
      <c r="A82" t="inlineStr">
        <is>
          <t xml:space="preserve">     = 5139.2 × 0.85 × 400.0 × (720.0 - 0.40 × 86.4)</t>
        </is>
      </c>
    </row>
    <row r="83">
      <c r="A83" t="inlineStr">
        <is>
          <t xml:space="preserve">     = 1,197,707,299.1 N.mm ≥ Mu = 1,000,000,000.0 N.mm  ∴ O.K</t>
        </is>
      </c>
    </row>
    <row r="84">
      <c r="A84" t="inlineStr">
        <is>
          <t xml:space="preserve">  [S.F = 1.198]</t>
        </is>
      </c>
    </row>
    <row r="85">
      <c r="A85">
        <f>===========================================================</f>
        <v/>
      </c>
    </row>
    <row r="86">
      <c r="A86" t="inlineStr">
        <is>
          <t>10) 전단검토</t>
        </is>
      </c>
    </row>
    <row r="87">
      <c r="A87">
        <f>===========================================================</f>
        <v/>
      </c>
    </row>
    <row r="88">
      <c r="A88" t="inlineStr">
        <is>
          <t xml:space="preserve">  Vcd = [0.85 × Φc × k × (ρ × fck)^(1/3) + 0.15 × fn] × b × d</t>
        </is>
      </c>
    </row>
    <row r="89">
      <c r="A89" t="inlineStr">
        <is>
          <t xml:space="preserve">      = [0.85 × 0.85 × 0.650 × (0.007138 × 35.0)^(1/3) + 0.15 × 0.006] × 1000.0 × 720.0</t>
        </is>
      </c>
    </row>
    <row r="90">
      <c r="A90" t="inlineStr">
        <is>
          <t xml:space="preserve">      = 500,978 N</t>
        </is>
      </c>
    </row>
    <row r="91">
      <c r="A91" t="inlineStr"/>
    </row>
    <row r="92">
      <c r="A92" t="inlineStr">
        <is>
          <t xml:space="preserve">  k = 1 + √(200/d) = 1 + √(200/720.0) = 0.650 (≤ 2.000)</t>
        </is>
      </c>
    </row>
    <row r="93">
      <c r="A93" t="inlineStr">
        <is>
          <t xml:space="preserve">  ρ = As / (b × d) = 5139.2 / (1000.0 × 720.0) = 0.007138 ≤ 0.0200</t>
        </is>
      </c>
    </row>
    <row r="94">
      <c r="A94" t="inlineStr">
        <is>
          <t xml:space="preserve">  fn = Nu / Ac = 0.006 MPa (≤ 0.2Φc×fck = 5.950 MPa)</t>
        </is>
      </c>
    </row>
    <row r="95">
      <c r="A95" t="inlineStr"/>
    </row>
    <row r="96">
      <c r="A96" t="inlineStr">
        <is>
          <t xml:space="preserve">  Vcd,min = (0.4 × Φc × fctk + 0.15 × fn) × b × d</t>
        </is>
      </c>
    </row>
    <row r="97">
      <c r="A97" t="inlineStr">
        <is>
          <t xml:space="preserve">         = (0.4 × 0.85 × 2.415 + 0.15 × 0.006) × 1000.0 × 720.0</t>
        </is>
      </c>
    </row>
    <row r="98">
      <c r="A98" t="inlineStr">
        <is>
          <t xml:space="preserve">         = 591,883 N</t>
        </is>
      </c>
    </row>
    <row r="99">
      <c r="A99" t="inlineStr"/>
    </row>
    <row r="100">
      <c r="A100" t="inlineStr">
        <is>
          <t xml:space="preserve">  Vcd = 591,883 N ≥ Vu = 50,000 N  ∴ 전단보강 불필요</t>
        </is>
      </c>
    </row>
    <row r="101">
      <c r="A101" t="inlineStr"/>
    </row>
    <row r="102">
      <c r="A102">
        <f>===========================================================</f>
        <v/>
      </c>
    </row>
    <row r="103">
      <c r="A103" t="inlineStr">
        <is>
          <t>11) 최소 전단철근량 검토</t>
        </is>
      </c>
    </row>
    <row r="104">
      <c r="A104">
        <f>===========================================================</f>
        <v/>
      </c>
    </row>
    <row r="105">
      <c r="A105" t="inlineStr">
        <is>
          <t xml:space="preserve">  Av,use = 397.2 mm² (H16 - 2ea, C.T.C = 400.0 mm)</t>
        </is>
      </c>
    </row>
    <row r="106">
      <c r="A106" t="inlineStr">
        <is>
          <t xml:space="preserve">  ρv,min = (0.08 × √fck) / fvy = (0.08 × √35.0) / 400.0 = 0.001183</t>
        </is>
      </c>
    </row>
    <row r="107">
      <c r="A107" t="inlineStr">
        <is>
          <t xml:space="preserve">  ρv,use = 397.2 / (400.0 × 1000.0 × sin90.0) = 0.001111 &lt; 0.001183  ∴ N.G</t>
        </is>
      </c>
    </row>
    <row r="108">
      <c r="A108" t="inlineStr"/>
    </row>
    <row r="109">
      <c r="A109">
        <f>===========================================================</f>
        <v/>
      </c>
    </row>
    <row r="110">
      <c r="A110" t="inlineStr">
        <is>
          <t>12) 전단철근 간격검토</t>
        </is>
      </c>
    </row>
    <row r="111">
      <c r="A111">
        <f>===========================================================</f>
        <v/>
      </c>
    </row>
    <row r="112">
      <c r="A112" t="inlineStr">
        <is>
          <t xml:space="preserve">  종방향 Smax = 0.75 × 720.0 × (1 + cot90.0) = 540.0 ≥ 400.0  ∴ O.K</t>
        </is>
      </c>
    </row>
    <row r="113">
      <c r="A113" t="inlineStr">
        <is>
          <t xml:space="preserve">  횡방향 Smax = min(0.75 × 720.0, 600.0) = 540.0 ≥ 500.0  ∴ O.K</t>
        </is>
      </c>
    </row>
    <row r="114">
      <c r="A114">
        <f>===========================================================</f>
        <v/>
      </c>
    </row>
    <row r="115">
      <c r="A115" t="inlineStr">
        <is>
          <t>14) 균열검토</t>
        </is>
      </c>
    </row>
    <row r="116">
      <c r="A116">
        <f>===========================================================</f>
        <v/>
      </c>
    </row>
    <row r="117">
      <c r="A117" t="inlineStr">
        <is>
          <t xml:space="preserve"> - 한계상태 검증을 위한 설계등급 : E (표면 한계균열폭 0.3 mm)</t>
        </is>
      </c>
    </row>
    <row r="118">
      <c r="A118" t="inlineStr"/>
    </row>
    <row r="119">
      <c r="A119" t="inlineStr">
        <is>
          <t>① 비균열 가정시 인장 연단 응력(사용하중조합-I)</t>
        </is>
      </c>
    </row>
    <row r="120">
      <c r="A120" t="inlineStr">
        <is>
          <t xml:space="preserve">  ft = M / Zb = M / (b × h² / 6)</t>
        </is>
      </c>
    </row>
    <row r="121">
      <c r="A121" t="inlineStr">
        <is>
          <t xml:space="preserve">     = 80,000,000.0 / (1000.0 × 800.0² / 6)</t>
        </is>
      </c>
    </row>
    <row r="122">
      <c r="A122" t="inlineStr">
        <is>
          <t xml:space="preserve">     = 0.7 MPa &lt; 2.4 MPa  → ∴ 비균열단면으로 균열검토 필요없음</t>
        </is>
      </c>
    </row>
    <row r="123">
      <c r="A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2026-01-19T08:46:46Z</dcterms:created>
  <dcterms:modified xmlns:dcterms="http://purl.org/dc/terms/" xmlns:xsi="http://www.w3.org/2001/XMLSchema-instance" xsi:type="dcterms:W3CDTF">2026-01-19T08:46:46Z</dcterms:modified>
</cp:coreProperties>
</file>