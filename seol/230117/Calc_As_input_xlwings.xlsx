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026"/>
  <workbookPr defaultThemeVersion="124226"/>
  <mc:AlternateContent xmlns:mc="http://schemas.openxmlformats.org/markup-compatibility/2006">
    <mc:Choice Requires="x15">
      <x15ac:absPath xmlns:x15ac="http://schemas.microsoft.com/office/spreadsheetml/2010/11/ac" url="D:\dev\ESC\seol\230117\"/>
    </mc:Choice>
  </mc:AlternateContent>
  <xr:revisionPtr revIDLastSave="0" documentId="13_ncr:1_{29D1C31B-EAAA-473C-B217-E97F811ABBC2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Sheet1" sheetId="1" r:id="rId1"/>
    <sheet name="Sheet3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" i="1" l="1"/>
  <c r="L13" i="1"/>
  <c r="L12" i="1"/>
  <c r="B12" i="3" l="1"/>
  <c r="B11" i="3"/>
  <c r="C10" i="3" s="1"/>
  <c r="H3" i="3"/>
  <c r="C5" i="3"/>
  <c r="E4" i="3"/>
  <c r="E3" i="3"/>
  <c r="B7" i="3"/>
  <c r="C7" i="3" s="1"/>
  <c r="C4" i="3"/>
  <c r="C3" i="3"/>
  <c r="D4" i="3" l="1"/>
  <c r="D3" i="3"/>
  <c r="D10" i="3"/>
  <c r="E10" i="3" s="1"/>
  <c r="F10" i="3" l="1"/>
  <c r="B5" i="3" l="1"/>
</calcChain>
</file>

<file path=xl/sharedStrings.xml><?xml version="1.0" encoding="utf-8"?>
<sst xmlns="http://schemas.openxmlformats.org/spreadsheetml/2006/main" count="63" uniqueCount="54">
  <si>
    <t>Φc</t>
    <phoneticPr fontId="1" type="noConversion"/>
  </si>
  <si>
    <t>Φs</t>
    <phoneticPr fontId="1" type="noConversion"/>
  </si>
  <si>
    <t>b(mm)</t>
    <phoneticPr fontId="1" type="noConversion"/>
  </si>
  <si>
    <t>H(mm)</t>
    <phoneticPr fontId="1" type="noConversion"/>
  </si>
  <si>
    <t>Mu(kN.m)</t>
    <phoneticPr fontId="1" type="noConversion"/>
  </si>
  <si>
    <t>Vu(kN)</t>
    <phoneticPr fontId="1" type="noConversion"/>
  </si>
  <si>
    <t>Nu(kN)</t>
    <phoneticPr fontId="1" type="noConversion"/>
  </si>
  <si>
    <t>개수</t>
    <phoneticPr fontId="1" type="noConversion"/>
  </si>
  <si>
    <t>피복(mm)</t>
    <phoneticPr fontId="1" type="noConversion"/>
  </si>
  <si>
    <t>직경(mm)</t>
    <phoneticPr fontId="1" type="noConversion"/>
  </si>
  <si>
    <t>1단</t>
    <phoneticPr fontId="1" type="noConversion"/>
  </si>
  <si>
    <t>2단</t>
    <phoneticPr fontId="1" type="noConversion"/>
  </si>
  <si>
    <t>3단</t>
    <phoneticPr fontId="1" type="noConversion"/>
  </si>
  <si>
    <t>fck(Mpa)</t>
    <phoneticPr fontId="1" type="noConversion"/>
  </si>
  <si>
    <t>fy(Mpa)</t>
    <phoneticPr fontId="1" type="noConversion"/>
  </si>
  <si>
    <t>간격(mm)</t>
    <phoneticPr fontId="1" type="noConversion"/>
  </si>
  <si>
    <t>적용 θ</t>
    <phoneticPr fontId="1" type="noConversion"/>
  </si>
  <si>
    <t>직접입력</t>
    <phoneticPr fontId="1" type="noConversion"/>
  </si>
  <si>
    <t>중간값적용</t>
    <phoneticPr fontId="1" type="noConversion"/>
  </si>
  <si>
    <t>cotθ</t>
    <phoneticPr fontId="1" type="noConversion"/>
  </si>
  <si>
    <t>자동산출</t>
    <phoneticPr fontId="1" type="noConversion"/>
  </si>
  <si>
    <t>α(도)</t>
    <phoneticPr fontId="1" type="noConversion"/>
  </si>
  <si>
    <t>cot θ1</t>
    <phoneticPr fontId="1" type="noConversion"/>
  </si>
  <si>
    <t>cot θ2</t>
  </si>
  <si>
    <t>tan θ</t>
    <phoneticPr fontId="1" type="noConversion"/>
  </si>
  <si>
    <t>v</t>
    <phoneticPr fontId="1" type="noConversion"/>
  </si>
  <si>
    <t>Vsd,max</t>
    <phoneticPr fontId="1" type="noConversion"/>
  </si>
  <si>
    <t>fck</t>
    <phoneticPr fontId="1" type="noConversion"/>
  </si>
  <si>
    <t>각도</t>
    <phoneticPr fontId="1" type="noConversion"/>
  </si>
  <si>
    <t>Vu</t>
    <phoneticPr fontId="1" type="noConversion"/>
  </si>
  <si>
    <t>Φc</t>
    <phoneticPr fontId="1" type="noConversion"/>
  </si>
  <si>
    <t>cot θ</t>
    <phoneticPr fontId="1" type="noConversion"/>
  </si>
  <si>
    <t>z</t>
    <phoneticPr fontId="1" type="noConversion"/>
  </si>
  <si>
    <t>Ms-1(kN.m)</t>
    <phoneticPr fontId="1" type="noConversion"/>
  </si>
  <si>
    <t>Ms-5(kN.m)</t>
    <phoneticPr fontId="1" type="noConversion"/>
  </si>
  <si>
    <t>균열검토</t>
    <phoneticPr fontId="1" type="noConversion"/>
  </si>
  <si>
    <t>간접균열제어</t>
    <phoneticPr fontId="1" type="noConversion"/>
  </si>
  <si>
    <t>동시검토</t>
    <phoneticPr fontId="1" type="noConversion"/>
  </si>
  <si>
    <t>균열검토방법</t>
    <phoneticPr fontId="1" type="noConversion"/>
  </si>
  <si>
    <t>한계상태</t>
    <phoneticPr fontId="1" type="noConversion"/>
  </si>
  <si>
    <t>극단상황한계</t>
    <phoneticPr fontId="1" type="noConversion"/>
  </si>
  <si>
    <t xml:space="preserve">  ＊ 재료특성(datalist)</t>
    <phoneticPr fontId="1" type="noConversion"/>
  </si>
  <si>
    <t xml:space="preserve">  ＊ 단면제원(datalist3)</t>
    <phoneticPr fontId="1" type="noConversion"/>
  </si>
  <si>
    <t xml:space="preserve">  ＊ 사용 휨철근량(datalist4)</t>
    <phoneticPr fontId="1" type="noConversion"/>
  </si>
  <si>
    <t xml:space="preserve">  ＊ 사용 전단철근량(datalist5)</t>
    <phoneticPr fontId="1" type="noConversion"/>
  </si>
  <si>
    <t xml:space="preserve">  ＊ 산정 하중(datalist6~7)</t>
    <phoneticPr fontId="1" type="noConversion"/>
  </si>
  <si>
    <t xml:space="preserve">  ＊ 재료계수(datalist1~2)</t>
    <phoneticPr fontId="1" type="noConversion"/>
  </si>
  <si>
    <t>극한한계</t>
    <phoneticPr fontId="1" type="noConversion"/>
  </si>
  <si>
    <t>* 검토명</t>
    <phoneticPr fontId="1" type="noConversion"/>
  </si>
  <si>
    <t>name</t>
    <phoneticPr fontId="1" type="noConversion"/>
  </si>
  <si>
    <t>단면1극한</t>
    <phoneticPr fontId="1" type="noConversion"/>
  </si>
  <si>
    <t>단면1극단</t>
    <phoneticPr fontId="1" type="noConversion"/>
  </si>
  <si>
    <t>단면2극한</t>
    <phoneticPr fontId="1" type="noConversion"/>
  </si>
  <si>
    <t>철근콘크리트 단면검토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</si>
</sst>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-* #,##0_-;\-* #,##0_-;_-* &quot;-&quot;_-;_-@_-"/>
  </numFmts>
  <fonts count="7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9"/>
      <color theme="1"/>
      <name val="맑은 고딕"/>
      <family val="2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9"/>
      <color theme="1"/>
      <name val="맑은 고딕"/>
      <family val="3"/>
      <charset val="129"/>
      <scheme val="minor"/>
    </font>
  </fonts>
  <fills count="3">
    <fill>
      <patternFill patternType="none"/>
    </fill>
    <fill>
      <patternFill patternType="gray125"/>
    </fill>
    <fill>
      <patternFill patternType="solid">
        <fgColor rgb="FF66FFFF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5" fillId="0" borderId="0" applyFont="0" applyFill="0" applyBorder="0" applyAlignment="0" applyProtection="0">
      <alignment vertical="center"/>
    </xf>
  </cellStyleXfs>
  <cellXfs count="15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quotePrefix="1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1" fontId="0" fillId="0" borderId="0" xfId="1" applyFont="1">
      <alignment vertical="center"/>
    </xf>
    <xf numFmtId="0" fontId="0" fillId="0" borderId="0" xfId="0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1" xfId="0" applyFont="1" applyBorder="1">
      <alignment vertical="center"/>
    </xf>
    <xf numFmtId="0" fontId="3" fillId="2" borderId="2" xfId="0" applyFont="1" applyFill="1" applyBorder="1">
      <alignment vertical="center"/>
    </xf>
    <xf numFmtId="0" fontId="3" fillId="2" borderId="3" xfId="0" applyFont="1" applyFill="1" applyBorder="1">
      <alignment vertical="center"/>
    </xf>
    <xf numFmtId="0" fontId="3" fillId="2" borderId="4" xfId="0" applyFont="1" applyFill="1" applyBorder="1">
      <alignment vertical="center"/>
    </xf>
    <xf numFmtId="0" fontId="6" fillId="0" borderId="0" xfId="0" applyFont="1">
      <alignment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colors>
    <mruColors>
      <color rgb="FF66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2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ctrlProps/ctrlProp3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4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ctrlProps/ctrlProp5.xml><?xml version="1.0" encoding="utf-8"?>
<formControlPr xmlns="http://schemas.microsoft.com/office/spreadsheetml/2009/9/main" objectType="Drop" dropLines="3" dropStyle="combo" dx="16" fmlaLink="$Y$12" fmlaRange="$I$2:$I$4" noThreeD="1" sel="3" val="0"/>
</file>

<file path=xl/ctrlProps/ctrlProp6.xml><?xml version="1.0" encoding="utf-8"?>
<formControlPr xmlns="http://schemas.microsoft.com/office/spreadsheetml/2009/9/main" objectType="Drop" dropLines="3" dropStyle="combo" dx="16" fmlaLink="$K$12" fmlaRange="$I$6:$I$8" noThreeD="1" sel="3" val="0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11</xdr:row>
          <xdr:rowOff>0</xdr:rowOff>
        </xdr:from>
        <xdr:to>
          <xdr:col>25</xdr:col>
          <xdr:colOff>304800</xdr:colOff>
          <xdr:row>12</xdr:row>
          <xdr:rowOff>0</xdr:rowOff>
        </xdr:to>
        <xdr:sp macro="" textlink="">
          <xdr:nvSpPr>
            <xdr:cNvPr id="1025" name="Drop Down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11</xdr:row>
          <xdr:rowOff>0</xdr:rowOff>
        </xdr:from>
        <xdr:to>
          <xdr:col>11</xdr:col>
          <xdr:colOff>0</xdr:colOff>
          <xdr:row>12</xdr:row>
          <xdr:rowOff>0</xdr:rowOff>
        </xdr:to>
        <xdr:sp macro="" textlink="">
          <xdr:nvSpPr>
            <xdr:cNvPr id="1026" name="Drop Down 2" hidden="1">
              <a:extLst>
                <a:ext uri="{63B3BB69-23CF-44E3-9099-C40C66FF867C}">
                  <a14:compatExt spid="_x0000_s1026"/>
                </a:ext>
                <a:ext uri="{FF2B5EF4-FFF2-40B4-BE49-F238E27FC236}">
                  <a16:creationId xmlns:a16="http://schemas.microsoft.com/office/drawing/2014/main" id="{00000000-0008-0000-0000-00000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12</xdr:row>
          <xdr:rowOff>0</xdr:rowOff>
        </xdr:from>
        <xdr:to>
          <xdr:col>25</xdr:col>
          <xdr:colOff>304800</xdr:colOff>
          <xdr:row>13</xdr:row>
          <xdr:rowOff>0</xdr:rowOff>
        </xdr:to>
        <xdr:sp macro="" textlink="">
          <xdr:nvSpPr>
            <xdr:cNvPr id="1027" name="Drop Down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12</xdr:row>
          <xdr:rowOff>0</xdr:rowOff>
        </xdr:from>
        <xdr:to>
          <xdr:col>11</xdr:col>
          <xdr:colOff>0</xdr:colOff>
          <xdr:row>13</xdr:row>
          <xdr:rowOff>0</xdr:rowOff>
        </xdr:to>
        <xdr:sp macro="" textlink="">
          <xdr:nvSpPr>
            <xdr:cNvPr id="1028" name="Drop Down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24</xdr:col>
          <xdr:colOff>0</xdr:colOff>
          <xdr:row>13</xdr:row>
          <xdr:rowOff>0</xdr:rowOff>
        </xdr:from>
        <xdr:to>
          <xdr:col>25</xdr:col>
          <xdr:colOff>304800</xdr:colOff>
          <xdr:row>14</xdr:row>
          <xdr:rowOff>0</xdr:rowOff>
        </xdr:to>
        <xdr:sp macro="" textlink="">
          <xdr:nvSpPr>
            <xdr:cNvPr id="1029" name="Drop Down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0</xdr:colOff>
          <xdr:row>13</xdr:row>
          <xdr:rowOff>0</xdr:rowOff>
        </xdr:from>
        <xdr:to>
          <xdr:col>11</xdr:col>
          <xdr:colOff>0</xdr:colOff>
          <xdr:row>14</xdr:row>
          <xdr:rowOff>0</xdr:rowOff>
        </xdr:to>
        <xdr:sp macro="" textlink="">
          <xdr:nvSpPr>
            <xdr:cNvPr id="1030" name="Drop Down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3" Type="http://schemas.openxmlformats.org/officeDocument/2006/relationships/ctrlProp" Target="../ctrlProps/ctrlProp1.xml"/><Relationship Id="rId7" Type="http://schemas.openxmlformats.org/officeDocument/2006/relationships/ctrlProp" Target="../ctrlProps/ctrlProp5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5" Type="http://schemas.openxmlformats.org/officeDocument/2006/relationships/ctrlProp" Target="../ctrlProps/ctrlProp3.xml"/><Relationship Id="rId4" Type="http://schemas.openxmlformats.org/officeDocument/2006/relationships/ctrlProp" Target="../ctrlProps/ctrlProp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A19"/>
  <sheetViews>
    <sheetView tabSelected="1" workbookViewId="0">
      <selection activeCell="E19" sqref="E19"/>
    </sheetView>
  </sheetViews>
  <sheetFormatPr defaultColWidth="9" defaultRowHeight="15" customHeight="1" x14ac:dyDescent="0.4"/>
  <cols>
    <col min="1" max="2" width="2.59765625" style="1" customWidth="1"/>
    <col min="3" max="3" width="9.59765625" style="1" customWidth="1"/>
    <col min="4" max="4" width="7.5" style="1" customWidth="1"/>
    <col min="5" max="7" width="9.59765625" style="1" customWidth="1"/>
    <col min="8" max="8" width="6.09765625" style="1" bestFit="1" customWidth="1"/>
    <col min="9" max="9" width="9.59765625" style="1" customWidth="1"/>
    <col min="10" max="10" width="9.09765625" style="1" bestFit="1" customWidth="1"/>
    <col min="11" max="11" width="9.59765625" style="1" customWidth="1"/>
    <col min="12" max="12" width="7.796875" style="1" bestFit="1" customWidth="1"/>
    <col min="13" max="13" width="10.19921875" style="1" bestFit="1" customWidth="1"/>
    <col min="14" max="14" width="7.796875" style="1" bestFit="1" customWidth="1"/>
    <col min="15" max="16" width="9" style="1"/>
    <col min="17" max="17" width="4.19921875" style="1" bestFit="1" customWidth="1"/>
    <col min="18" max="19" width="7.796875" style="1" bestFit="1" customWidth="1"/>
    <col min="20" max="20" width="4.19921875" style="1" bestFit="1" customWidth="1"/>
    <col min="21" max="21" width="7.796875" style="1" bestFit="1" customWidth="1"/>
    <col min="22" max="22" width="7.69921875" style="1" customWidth="1"/>
    <col min="23" max="23" width="4.19921875" style="1" bestFit="1" customWidth="1"/>
    <col min="24" max="24" width="7.796875" style="1" bestFit="1" customWidth="1"/>
    <col min="25" max="25" width="5.59765625" style="1" bestFit="1" customWidth="1"/>
    <col min="26" max="26" width="4.19921875" style="1" bestFit="1" customWidth="1"/>
    <col min="27" max="27" width="4.59765625" style="1" bestFit="1" customWidth="1"/>
    <col min="28" max="16384" width="9" style="1"/>
  </cols>
  <sheetData>
    <row r="1" spans="1:27" ht="15" customHeight="1" x14ac:dyDescent="0.4">
      <c r="C1" s="14" t="s">
        <v>53</v>
      </c>
    </row>
    <row r="2" spans="1:27" ht="15" customHeight="1" x14ac:dyDescent="0.4">
      <c r="C2" s="1" t="s">
        <v>41</v>
      </c>
      <c r="I2" s="6" t="s">
        <v>17</v>
      </c>
    </row>
    <row r="3" spans="1:27" ht="15" customHeight="1" x14ac:dyDescent="0.4">
      <c r="C3" s="4" t="s">
        <v>13</v>
      </c>
      <c r="D3" s="4" t="s">
        <v>14</v>
      </c>
      <c r="G3" s="9"/>
      <c r="H3" s="9"/>
      <c r="I3" s="6" t="s">
        <v>18</v>
      </c>
      <c r="J3" s="9"/>
      <c r="K3" s="9"/>
      <c r="L3" s="9"/>
    </row>
    <row r="4" spans="1:27" ht="15" customHeight="1" x14ac:dyDescent="0.4">
      <c r="A4" s="2"/>
      <c r="B4" s="2"/>
      <c r="C4" s="3">
        <v>35</v>
      </c>
      <c r="D4" s="3">
        <v>500</v>
      </c>
      <c r="G4" s="9"/>
      <c r="H4" s="9"/>
      <c r="I4" s="6" t="s">
        <v>20</v>
      </c>
      <c r="J4" s="9"/>
      <c r="K4" s="9"/>
      <c r="L4" s="9"/>
    </row>
    <row r="5" spans="1:27" ht="15" customHeight="1" x14ac:dyDescent="0.4">
      <c r="A5" s="2"/>
      <c r="C5" s="1" t="s">
        <v>46</v>
      </c>
      <c r="D5" s="9"/>
      <c r="E5" s="9"/>
      <c r="F5" s="9"/>
      <c r="G5" s="9"/>
      <c r="H5" s="9"/>
      <c r="J5" s="9"/>
      <c r="K5" s="9"/>
      <c r="L5" s="9"/>
    </row>
    <row r="6" spans="1:27" ht="15" customHeight="1" x14ac:dyDescent="0.4">
      <c r="A6" s="2"/>
      <c r="B6" s="2"/>
      <c r="C6" s="4" t="s">
        <v>0</v>
      </c>
      <c r="D6" s="4" t="s">
        <v>1</v>
      </c>
      <c r="E6" s="4" t="s">
        <v>39</v>
      </c>
      <c r="F6" s="9"/>
      <c r="G6" s="9"/>
      <c r="H6" s="9"/>
      <c r="I6" s="6" t="s">
        <v>35</v>
      </c>
      <c r="J6" s="9"/>
      <c r="K6" s="9"/>
      <c r="L6" s="9"/>
    </row>
    <row r="7" spans="1:27" ht="15" customHeight="1" x14ac:dyDescent="0.4">
      <c r="A7" s="2"/>
      <c r="B7" s="2"/>
      <c r="C7" s="3">
        <v>0.65</v>
      </c>
      <c r="D7" s="3">
        <v>0.9</v>
      </c>
      <c r="E7" s="3" t="s">
        <v>47</v>
      </c>
      <c r="F7" s="9"/>
      <c r="G7" s="9"/>
      <c r="H7" s="9"/>
      <c r="I7" s="6" t="s">
        <v>36</v>
      </c>
      <c r="J7" s="9"/>
      <c r="K7" s="9"/>
      <c r="L7" s="9"/>
    </row>
    <row r="8" spans="1:27" ht="15" customHeight="1" x14ac:dyDescent="0.4">
      <c r="A8" s="2"/>
      <c r="B8" s="2"/>
      <c r="C8" s="3">
        <v>1</v>
      </c>
      <c r="D8" s="3">
        <v>1</v>
      </c>
      <c r="E8" s="3" t="s">
        <v>40</v>
      </c>
      <c r="F8" s="9"/>
      <c r="G8" s="9"/>
      <c r="H8" s="9"/>
      <c r="I8" s="6" t="s">
        <v>37</v>
      </c>
      <c r="J8" s="9"/>
      <c r="K8" s="9"/>
      <c r="L8" s="9"/>
    </row>
    <row r="9" spans="1:27" ht="15" customHeight="1" x14ac:dyDescent="0.4">
      <c r="A9" s="2"/>
      <c r="B9" s="2"/>
      <c r="D9" s="9"/>
      <c r="E9" s="9"/>
      <c r="F9" s="9"/>
      <c r="G9" s="9"/>
      <c r="H9" s="9"/>
      <c r="I9" s="9"/>
      <c r="K9" s="9"/>
      <c r="L9" s="9"/>
      <c r="M9" s="1" t="s">
        <v>43</v>
      </c>
      <c r="V9" s="1" t="s">
        <v>44</v>
      </c>
    </row>
    <row r="10" spans="1:27" ht="15" customHeight="1" x14ac:dyDescent="0.4">
      <c r="A10" s="2"/>
      <c r="C10" s="1" t="s">
        <v>48</v>
      </c>
      <c r="D10" s="1" t="s">
        <v>42</v>
      </c>
      <c r="E10" s="9"/>
      <c r="F10" s="1" t="s">
        <v>45</v>
      </c>
      <c r="M10" s="11"/>
      <c r="N10" s="12" t="s">
        <v>10</v>
      </c>
      <c r="O10" s="13"/>
      <c r="P10" s="11"/>
      <c r="Q10" s="12" t="s">
        <v>11</v>
      </c>
      <c r="R10" s="13"/>
      <c r="S10" s="11"/>
      <c r="T10" s="12" t="s">
        <v>12</v>
      </c>
      <c r="U10" s="13"/>
    </row>
    <row r="11" spans="1:27" ht="15" customHeight="1" x14ac:dyDescent="0.4">
      <c r="A11" s="2"/>
      <c r="B11" s="2"/>
      <c r="C11" s="4" t="s">
        <v>49</v>
      </c>
      <c r="D11" s="4" t="s">
        <v>3</v>
      </c>
      <c r="E11" s="4" t="s">
        <v>2</v>
      </c>
      <c r="F11" s="5" t="s">
        <v>4</v>
      </c>
      <c r="G11" s="4" t="s">
        <v>5</v>
      </c>
      <c r="H11" s="4" t="s">
        <v>6</v>
      </c>
      <c r="I11" s="4" t="s">
        <v>33</v>
      </c>
      <c r="J11" s="4" t="s">
        <v>34</v>
      </c>
      <c r="K11" s="4" t="s">
        <v>38</v>
      </c>
      <c r="L11" s="4" t="s">
        <v>39</v>
      </c>
      <c r="M11" s="4" t="s">
        <v>9</v>
      </c>
      <c r="N11" s="4" t="s">
        <v>7</v>
      </c>
      <c r="O11" s="4" t="s">
        <v>8</v>
      </c>
      <c r="P11" s="4" t="s">
        <v>9</v>
      </c>
      <c r="Q11" s="4" t="s">
        <v>7</v>
      </c>
      <c r="R11" s="4" t="s">
        <v>8</v>
      </c>
      <c r="S11" s="4" t="s">
        <v>9</v>
      </c>
      <c r="T11" s="4" t="s">
        <v>7</v>
      </c>
      <c r="U11" s="4" t="s">
        <v>8</v>
      </c>
      <c r="V11" s="4" t="s">
        <v>9</v>
      </c>
      <c r="W11" s="4" t="s">
        <v>7</v>
      </c>
      <c r="X11" s="4" t="s">
        <v>15</v>
      </c>
      <c r="Y11" s="4" t="s">
        <v>16</v>
      </c>
      <c r="Z11" s="4" t="s">
        <v>19</v>
      </c>
      <c r="AA11" s="4" t="s">
        <v>21</v>
      </c>
    </row>
    <row r="12" spans="1:27" ht="15" customHeight="1" x14ac:dyDescent="0.4">
      <c r="A12" s="2"/>
      <c r="B12" s="2"/>
      <c r="C12" s="10" t="s">
        <v>50</v>
      </c>
      <c r="D12" s="3">
        <v>800</v>
      </c>
      <c r="E12" s="3">
        <v>1000</v>
      </c>
      <c r="F12" s="3">
        <v>179.76</v>
      </c>
      <c r="G12" s="3">
        <v>1071.048</v>
      </c>
      <c r="H12" s="3">
        <v>0</v>
      </c>
      <c r="I12" s="3">
        <v>244.17699999999999</v>
      </c>
      <c r="J12" s="3">
        <v>187.90899999999999</v>
      </c>
      <c r="K12" s="10">
        <v>3</v>
      </c>
      <c r="L12" s="3" t="str">
        <f>E7</f>
        <v>극한한계</v>
      </c>
      <c r="M12" s="3">
        <v>22</v>
      </c>
      <c r="N12" s="3">
        <v>8</v>
      </c>
      <c r="O12" s="3">
        <v>100</v>
      </c>
      <c r="P12" s="3">
        <v>22</v>
      </c>
      <c r="Q12" s="3">
        <v>4</v>
      </c>
      <c r="R12" s="3">
        <v>200</v>
      </c>
      <c r="S12" s="3">
        <v>0</v>
      </c>
      <c r="T12" s="3">
        <v>0</v>
      </c>
      <c r="U12" s="3">
        <v>0</v>
      </c>
      <c r="V12" s="3">
        <v>16</v>
      </c>
      <c r="W12" s="3">
        <v>4</v>
      </c>
      <c r="X12" s="3">
        <v>300</v>
      </c>
      <c r="Y12" s="3">
        <v>3</v>
      </c>
      <c r="Z12" s="3">
        <v>2.5</v>
      </c>
      <c r="AA12" s="3">
        <v>90</v>
      </c>
    </row>
    <row r="13" spans="1:27" ht="15" customHeight="1" x14ac:dyDescent="0.4">
      <c r="A13" s="2"/>
      <c r="B13" s="2"/>
      <c r="C13" s="10" t="s">
        <v>51</v>
      </c>
      <c r="D13" s="3">
        <v>800</v>
      </c>
      <c r="E13" s="3">
        <v>1000</v>
      </c>
      <c r="F13" s="3">
        <v>215.71199999999999</v>
      </c>
      <c r="G13" s="3">
        <v>1285.2575999999999</v>
      </c>
      <c r="H13" s="3">
        <v>0</v>
      </c>
      <c r="I13" s="3">
        <v>244.17699999999999</v>
      </c>
      <c r="J13" s="3">
        <v>187.90899999999999</v>
      </c>
      <c r="K13" s="10">
        <v>3</v>
      </c>
      <c r="L13" s="3" t="str">
        <f>E8</f>
        <v>극단상황한계</v>
      </c>
      <c r="M13" s="3">
        <v>22</v>
      </c>
      <c r="N13" s="3">
        <v>8</v>
      </c>
      <c r="O13" s="3">
        <v>100</v>
      </c>
      <c r="P13" s="3">
        <v>22</v>
      </c>
      <c r="Q13" s="3">
        <v>4</v>
      </c>
      <c r="R13" s="3">
        <v>200</v>
      </c>
      <c r="S13" s="3">
        <v>0</v>
      </c>
      <c r="T13" s="3">
        <v>0</v>
      </c>
      <c r="U13" s="3">
        <v>0</v>
      </c>
      <c r="V13" s="3">
        <v>16</v>
      </c>
      <c r="W13" s="3">
        <v>4</v>
      </c>
      <c r="X13" s="3">
        <v>300</v>
      </c>
      <c r="Y13" s="3">
        <v>3</v>
      </c>
      <c r="Z13" s="3">
        <v>2.5</v>
      </c>
      <c r="AA13" s="3">
        <v>90</v>
      </c>
    </row>
    <row r="14" spans="1:27" ht="15" customHeight="1" x14ac:dyDescent="0.4">
      <c r="A14" s="2"/>
      <c r="C14" s="10" t="s">
        <v>52</v>
      </c>
      <c r="D14" s="3">
        <v>800</v>
      </c>
      <c r="E14" s="3">
        <v>1000</v>
      </c>
      <c r="F14" s="3">
        <v>215.71199999999999</v>
      </c>
      <c r="G14" s="3">
        <v>1285.2575999999999</v>
      </c>
      <c r="H14" s="3">
        <v>0</v>
      </c>
      <c r="I14" s="3">
        <v>244.17699999999999</v>
      </c>
      <c r="J14" s="3">
        <v>187.90899999999999</v>
      </c>
      <c r="K14" s="10">
        <v>3</v>
      </c>
      <c r="L14" s="3">
        <f>E9</f>
        <v>0</v>
      </c>
      <c r="M14" s="3">
        <v>22</v>
      </c>
      <c r="N14" s="3">
        <v>8</v>
      </c>
      <c r="O14" s="3">
        <v>100</v>
      </c>
      <c r="P14" s="3">
        <v>22</v>
      </c>
      <c r="Q14" s="3">
        <v>4</v>
      </c>
      <c r="R14" s="3">
        <v>200</v>
      </c>
      <c r="S14" s="3">
        <v>0</v>
      </c>
      <c r="T14" s="3">
        <v>0</v>
      </c>
      <c r="U14" s="3">
        <v>0</v>
      </c>
      <c r="V14" s="3">
        <v>16</v>
      </c>
      <c r="W14" s="3">
        <v>4</v>
      </c>
      <c r="X14" s="3">
        <v>300</v>
      </c>
      <c r="Y14" s="3">
        <v>3</v>
      </c>
      <c r="Z14" s="3">
        <v>2.5</v>
      </c>
      <c r="AA14" s="3">
        <v>90</v>
      </c>
    </row>
    <row r="15" spans="1:27" ht="15" customHeight="1" x14ac:dyDescent="0.4">
      <c r="A15" s="2"/>
      <c r="B15" s="2"/>
    </row>
    <row r="16" spans="1:27" ht="15" customHeight="1" x14ac:dyDescent="0.4">
      <c r="A16" s="2"/>
      <c r="B16" s="2"/>
    </row>
    <row r="17" spans="1:2" ht="15" customHeight="1" x14ac:dyDescent="0.4">
      <c r="A17" s="2"/>
      <c r="B17" s="2"/>
    </row>
    <row r="18" spans="1:2" ht="15" customHeight="1" x14ac:dyDescent="0.4">
      <c r="A18" s="2"/>
    </row>
    <row r="19" spans="1:2" ht="15" customHeight="1" x14ac:dyDescent="0.4">
      <c r="A19" s="2"/>
    </row>
  </sheetData>
  <phoneticPr fontId="1" type="noConversion"/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5" r:id="rId3" name="Drop Down 1">
              <controlPr defaultSize="0" autoLine="0" autoPict="0">
                <anchor moveWithCells="1">
                  <from>
                    <xdr:col>24</xdr:col>
                    <xdr:colOff>0</xdr:colOff>
                    <xdr:row>11</xdr:row>
                    <xdr:rowOff>0</xdr:rowOff>
                  </from>
                  <to>
                    <xdr:col>25</xdr:col>
                    <xdr:colOff>304800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6" r:id="rId4" name="Drop Down 2">
              <controlPr defaultSize="0" autoLine="0" autoPict="0">
                <anchor moveWithCells="1">
                  <from>
                    <xdr:col>10</xdr:col>
                    <xdr:colOff>0</xdr:colOff>
                    <xdr:row>11</xdr:row>
                    <xdr:rowOff>0</xdr:rowOff>
                  </from>
                  <to>
                    <xdr:col>11</xdr:col>
                    <xdr:colOff>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7" r:id="rId5" name="Drop Down 3">
              <controlPr defaultSize="0" autoLine="0" autoPict="0">
                <anchor moveWithCells="1">
                  <from>
                    <xdr:col>24</xdr:col>
                    <xdr:colOff>0</xdr:colOff>
                    <xdr:row>12</xdr:row>
                    <xdr:rowOff>0</xdr:rowOff>
                  </from>
                  <to>
                    <xdr:col>25</xdr:col>
                    <xdr:colOff>304800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8" r:id="rId6" name="Drop Down 4">
              <controlPr defaultSize="0" autoLine="0" autoPict="0">
                <anchor moveWithCells="1">
                  <from>
                    <xdr:col>10</xdr:col>
                    <xdr:colOff>0</xdr:colOff>
                    <xdr:row>12</xdr:row>
                    <xdr:rowOff>0</xdr:rowOff>
                  </from>
                  <to>
                    <xdr:col>11</xdr:col>
                    <xdr:colOff>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9" r:id="rId7" name="Drop Down 5">
              <controlPr defaultSize="0" autoLine="0" autoPict="0">
                <anchor moveWithCells="1">
                  <from>
                    <xdr:col>24</xdr:col>
                    <xdr:colOff>0</xdr:colOff>
                    <xdr:row>13</xdr:row>
                    <xdr:rowOff>0</xdr:rowOff>
                  </from>
                  <to>
                    <xdr:col>25</xdr:col>
                    <xdr:colOff>304800</xdr:colOff>
                    <xdr:row>14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0" r:id="rId8" name="Drop Down 6">
              <controlPr defaultSize="0" autoLine="0" autoPict="0">
                <anchor moveWithCells="1">
                  <from>
                    <xdr:col>10</xdr:col>
                    <xdr:colOff>0</xdr:colOff>
                    <xdr:row>13</xdr:row>
                    <xdr:rowOff>0</xdr:rowOff>
                  </from>
                  <to>
                    <xdr:col>11</xdr:col>
                    <xdr:colOff>0</xdr:colOff>
                    <xdr:row>14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I12"/>
  <sheetViews>
    <sheetView workbookViewId="0">
      <selection activeCell="F16" sqref="F16"/>
    </sheetView>
  </sheetViews>
  <sheetFormatPr defaultRowHeight="17.399999999999999" x14ac:dyDescent="0.4"/>
  <cols>
    <col min="1" max="1" width="10.796875" bestFit="1" customWidth="1"/>
    <col min="4" max="4" width="10.796875" bestFit="1" customWidth="1"/>
  </cols>
  <sheetData>
    <row r="2" spans="1:9" x14ac:dyDescent="0.4">
      <c r="B2" t="s">
        <v>31</v>
      </c>
      <c r="C2" t="s">
        <v>24</v>
      </c>
      <c r="D2" s="8" t="s">
        <v>26</v>
      </c>
      <c r="E2" t="s">
        <v>28</v>
      </c>
      <c r="G2" t="s">
        <v>25</v>
      </c>
      <c r="H2" t="s">
        <v>30</v>
      </c>
      <c r="I2" t="s">
        <v>32</v>
      </c>
    </row>
    <row r="3" spans="1:9" x14ac:dyDescent="0.4">
      <c r="A3" t="s">
        <v>22</v>
      </c>
      <c r="B3">
        <v>1</v>
      </c>
      <c r="C3">
        <f>1/B3</f>
        <v>1</v>
      </c>
      <c r="D3" s="7">
        <f>($G$3*$H$3*$B$10*1000*$I$3)/(B3+C3)</f>
        <v>1320637.5</v>
      </c>
      <c r="E3">
        <f>DEGREES(ATAN(C3))</f>
        <v>45</v>
      </c>
      <c r="G3">
        <v>0.51600000000000001</v>
      </c>
      <c r="H3">
        <f>Sheet1!C7</f>
        <v>0.65</v>
      </c>
      <c r="I3">
        <v>225</v>
      </c>
    </row>
    <row r="4" spans="1:9" x14ac:dyDescent="0.4">
      <c r="A4" t="s">
        <v>23</v>
      </c>
      <c r="B4">
        <v>2.5</v>
      </c>
      <c r="C4">
        <f>1/B4</f>
        <v>0.4</v>
      </c>
      <c r="D4" s="7">
        <f>($G$3*$H$3*$B$10*1000*$I$3)/(B4+C4)</f>
        <v>910784.48275862075</v>
      </c>
      <c r="E4">
        <f>DEGREES(ATAN(C4))</f>
        <v>21.801409486351812</v>
      </c>
    </row>
    <row r="5" spans="1:9" x14ac:dyDescent="0.4">
      <c r="B5">
        <f>1/C5</f>
        <v>0.83909963117728004</v>
      </c>
      <c r="C5">
        <f>TAN(RADIANS(E5))</f>
        <v>1.19175359259421</v>
      </c>
      <c r="E5">
        <v>50</v>
      </c>
    </row>
    <row r="7" spans="1:9" x14ac:dyDescent="0.4">
      <c r="B7">
        <f>TAN(RADIANS(22.15))</f>
        <v>0.40707480524400674</v>
      </c>
      <c r="C7">
        <f>1/B7</f>
        <v>2.4565509511220793</v>
      </c>
    </row>
    <row r="9" spans="1:9" x14ac:dyDescent="0.4">
      <c r="A9" t="s">
        <v>29</v>
      </c>
      <c r="B9" t="s">
        <v>27</v>
      </c>
    </row>
    <row r="10" spans="1:9" x14ac:dyDescent="0.4">
      <c r="A10" s="7">
        <v>1154500</v>
      </c>
      <c r="B10">
        <v>35</v>
      </c>
      <c r="C10" t="e">
        <f>A10/(0.2*B10*(1-B10/250)*B11*I3)</f>
        <v>#DIV/0!</v>
      </c>
      <c r="D10" t="e">
        <f>0.5*ASIN(C10)</f>
        <v>#DIV/0!</v>
      </c>
      <c r="E10" t="e">
        <f>DEGREES(D10)</f>
        <v>#DIV/0!</v>
      </c>
      <c r="F10" t="e">
        <f>1/TAN(D10)</f>
        <v>#DIV/0!</v>
      </c>
    </row>
    <row r="11" spans="1:9" x14ac:dyDescent="0.4">
      <c r="B11">
        <f>Sheet1!L4</f>
        <v>0</v>
      </c>
    </row>
    <row r="12" spans="1:9" x14ac:dyDescent="0.4">
      <c r="B12">
        <f>Sheet1!K4</f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Sheet1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Seoljm</dc:creator>
  <cp:lastModifiedBy>ysj</cp:lastModifiedBy>
  <dcterms:created xsi:type="dcterms:W3CDTF">2022-11-23T06:51:34Z</dcterms:created>
  <dcterms:modified xsi:type="dcterms:W3CDTF">2023-02-10T18:47:12Z</dcterms:modified>
</cp:coreProperties>
</file>