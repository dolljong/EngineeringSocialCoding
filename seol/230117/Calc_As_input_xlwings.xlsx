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SC\seol\230117\"/>
    </mc:Choice>
  </mc:AlternateContent>
  <xr:revisionPtr revIDLastSave="0" documentId="13_ncr:1_{A2359813-C8EA-4DB5-83D9-82BBDCC6A8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단면2극한" sheetId="18" r:id="rId2"/>
    <sheet name="단면1극단" sheetId="17" r:id="rId3"/>
    <sheet name="단면1극한" sheetId="16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2" i="1"/>
  <c r="B12" i="3" l="1"/>
  <c r="B11" i="3"/>
  <c r="C10" i="3" s="1"/>
  <c r="H3" i="3"/>
  <c r="C5" i="3"/>
  <c r="E4" i="3"/>
  <c r="E3" i="3"/>
  <c r="B7" i="3"/>
  <c r="C7" i="3" s="1"/>
  <c r="C4" i="3"/>
  <c r="C3" i="3"/>
  <c r="D4" i="3" l="1"/>
  <c r="D3" i="3"/>
  <c r="D10" i="3"/>
  <c r="E10" i="3" s="1"/>
  <c r="F10" i="3" l="1"/>
  <c r="B5" i="3" l="1"/>
</calcChain>
</file>

<file path=xl/sharedStrings.xml><?xml version="1.0" encoding="utf-8"?>
<sst xmlns="http://schemas.openxmlformats.org/spreadsheetml/2006/main" count="388" uniqueCount="157">
  <si>
    <t>Φc</t>
    <phoneticPr fontId="1" type="noConversion"/>
  </si>
  <si>
    <t>Φs</t>
    <phoneticPr fontId="1" type="noConversion"/>
  </si>
  <si>
    <t>b(mm)</t>
    <phoneticPr fontId="1" type="noConversion"/>
  </si>
  <si>
    <t>H(mm)</t>
    <phoneticPr fontId="1" type="noConversion"/>
  </si>
  <si>
    <t>Mu(kN.m)</t>
    <phoneticPr fontId="1" type="noConversion"/>
  </si>
  <si>
    <t>Vu(kN)</t>
    <phoneticPr fontId="1" type="noConversion"/>
  </si>
  <si>
    <t>Nu(kN)</t>
    <phoneticPr fontId="1" type="noConversion"/>
  </si>
  <si>
    <t>개수</t>
    <phoneticPr fontId="1" type="noConversion"/>
  </si>
  <si>
    <t>피복(mm)</t>
    <phoneticPr fontId="1" type="noConversion"/>
  </si>
  <si>
    <t>직경(mm)</t>
    <phoneticPr fontId="1" type="noConversion"/>
  </si>
  <si>
    <t>1단</t>
    <phoneticPr fontId="1" type="noConversion"/>
  </si>
  <si>
    <t>2단</t>
    <phoneticPr fontId="1" type="noConversion"/>
  </si>
  <si>
    <t>3단</t>
    <phoneticPr fontId="1" type="noConversion"/>
  </si>
  <si>
    <t>fck(Mpa)</t>
    <phoneticPr fontId="1" type="noConversion"/>
  </si>
  <si>
    <t>fy(Mpa)</t>
    <phoneticPr fontId="1" type="noConversion"/>
  </si>
  <si>
    <t>간격(mm)</t>
    <phoneticPr fontId="1" type="noConversion"/>
  </si>
  <si>
    <t>적용 θ</t>
    <phoneticPr fontId="1" type="noConversion"/>
  </si>
  <si>
    <t>직접입력</t>
    <phoneticPr fontId="1" type="noConversion"/>
  </si>
  <si>
    <t>중간값적용</t>
    <phoneticPr fontId="1" type="noConversion"/>
  </si>
  <si>
    <t>cotθ</t>
    <phoneticPr fontId="1" type="noConversion"/>
  </si>
  <si>
    <t>자동산출</t>
    <phoneticPr fontId="1" type="noConversion"/>
  </si>
  <si>
    <t>α(도)</t>
    <phoneticPr fontId="1" type="noConversion"/>
  </si>
  <si>
    <t>cot θ1</t>
    <phoneticPr fontId="1" type="noConversion"/>
  </si>
  <si>
    <t>cot θ2</t>
  </si>
  <si>
    <t>tan θ</t>
    <phoneticPr fontId="1" type="noConversion"/>
  </si>
  <si>
    <t>v</t>
    <phoneticPr fontId="1" type="noConversion"/>
  </si>
  <si>
    <t>Vsd,max</t>
    <phoneticPr fontId="1" type="noConversion"/>
  </si>
  <si>
    <t>fck</t>
    <phoneticPr fontId="1" type="noConversion"/>
  </si>
  <si>
    <t>각도</t>
    <phoneticPr fontId="1" type="noConversion"/>
  </si>
  <si>
    <t>Vu</t>
    <phoneticPr fontId="1" type="noConversion"/>
  </si>
  <si>
    <t>Φc</t>
    <phoneticPr fontId="1" type="noConversion"/>
  </si>
  <si>
    <t>cot θ</t>
    <phoneticPr fontId="1" type="noConversion"/>
  </si>
  <si>
    <t>z</t>
    <phoneticPr fontId="1" type="noConversion"/>
  </si>
  <si>
    <t>Ms-1(kN.m)</t>
    <phoneticPr fontId="1" type="noConversion"/>
  </si>
  <si>
    <t>Ms-5(kN.m)</t>
    <phoneticPr fontId="1" type="noConversion"/>
  </si>
  <si>
    <t>균열검토</t>
    <phoneticPr fontId="1" type="noConversion"/>
  </si>
  <si>
    <t>간접균열제어</t>
    <phoneticPr fontId="1" type="noConversion"/>
  </si>
  <si>
    <t>동시검토</t>
    <phoneticPr fontId="1" type="noConversion"/>
  </si>
  <si>
    <t>균열검토방법</t>
    <phoneticPr fontId="1" type="noConversion"/>
  </si>
  <si>
    <t>한계상태</t>
    <phoneticPr fontId="1" type="noConversion"/>
  </si>
  <si>
    <t>극단상황한계</t>
    <phoneticPr fontId="1" type="noConversion"/>
  </si>
  <si>
    <t xml:space="preserve">  ＊ 재료특성(datalist)</t>
    <phoneticPr fontId="1" type="noConversion"/>
  </si>
  <si>
    <t xml:space="preserve">  ＊ 단면제원(datalist3)</t>
    <phoneticPr fontId="1" type="noConversion"/>
  </si>
  <si>
    <t xml:space="preserve">  ＊ 사용 휨철근량(datalist4)</t>
    <phoneticPr fontId="1" type="noConversion"/>
  </si>
  <si>
    <t xml:space="preserve">  ＊ 사용 전단철근량(datalist5)</t>
    <phoneticPr fontId="1" type="noConversion"/>
  </si>
  <si>
    <t xml:space="preserve">  ＊ 산정 하중(datalist6~7)</t>
    <phoneticPr fontId="1" type="noConversion"/>
  </si>
  <si>
    <t xml:space="preserve">  ＊ 재료계수(datalist1~2)</t>
    <phoneticPr fontId="1" type="noConversion"/>
  </si>
  <si>
    <t>극한한계</t>
    <phoneticPr fontId="1" type="noConversion"/>
  </si>
  <si>
    <t>* 검토명</t>
    <phoneticPr fontId="1" type="noConversion"/>
  </si>
  <si>
    <t>name</t>
    <phoneticPr fontId="1" type="noConversion"/>
  </si>
  <si>
    <t>단면1극한</t>
    <phoneticPr fontId="1" type="noConversion"/>
  </si>
  <si>
    <t>단면1극단</t>
    <phoneticPr fontId="1" type="noConversion"/>
  </si>
  <si>
    <t>단면2극한</t>
    <phoneticPr fontId="1" type="noConversion"/>
  </si>
  <si>
    <t>철근콘크리트 단면검토</t>
    <phoneticPr fontId="1" type="noConversion"/>
  </si>
  <si>
    <t>1) 단면제원 및 설계가정</t>
  </si>
  <si>
    <t>fck = 35 Mpa, fy = 500 Mpa, Øc = 0.65, Øs = 0.90, Es = 200000 Mpa</t>
  </si>
  <si>
    <t>B(mm)</t>
  </si>
  <si>
    <t>H(mm)</t>
  </si>
  <si>
    <t>d(mm)</t>
  </si>
  <si>
    <t>피복(mm)</t>
  </si>
  <si>
    <t>Mu(N.mm)</t>
  </si>
  <si>
    <t>Vu(N)</t>
  </si>
  <si>
    <t>2) 콘크리트 재료상수</t>
  </si>
  <si>
    <t>n      : 상승 곡선부의 형상을 나타내는 지수</t>
  </si>
  <si>
    <t>=</t>
  </si>
  <si>
    <t>εco,r : 최대응력에 처음 도달했을때의 변형률</t>
  </si>
  <si>
    <t>εcu,r : 극한변형률</t>
  </si>
  <si>
    <t>αcc   : 유효계수</t>
  </si>
  <si>
    <t>fcd   : 콘크리트 설계압축강도</t>
  </si>
  <si>
    <t>MPa</t>
  </si>
  <si>
    <t>fcm   : 평균압축강도(fck+Δf)</t>
  </si>
  <si>
    <t>Ec    : 콘크리트 탄성계수</t>
  </si>
  <si>
    <t>α     : 압축합력의 평균 응력계수</t>
  </si>
  <si>
    <t>β     : 압축합력의 작용점 위치계수</t>
  </si>
  <si>
    <t>η     : 등가 사각형 응력 블록의 크기계수</t>
  </si>
  <si>
    <t>β1    : 등가 사각형 응력 블록의 깊이계수(2β)</t>
  </si>
  <si>
    <t>3) 철근 재료상수</t>
  </si>
  <si>
    <t>fyd    : 설계인장강도 ( Φs fy )</t>
  </si>
  <si>
    <t>εyd    : 설계 항복 변형률 ( fyd / Es )</t>
  </si>
  <si>
    <t>4) 필요철근량 산정</t>
  </si>
  <si>
    <t>Mu = As x fyd  x (d - a / 2)              ----------------   ①</t>
  </si>
  <si>
    <t xml:space="preserve"> a = As x fyd  / ( η x fcd x b)          ----------------   ②</t>
  </si>
  <si>
    <t xml:space="preserve"> 식②를 식①에 대입하여 이차방정식으로 As를 구한다</t>
  </si>
  <si>
    <t xml:space="preserve"> fyd²</t>
  </si>
  <si>
    <t xml:space="preserve"> ──────────── As² - fyd x d x As + Mu = 0 ,   Asreq =  605.6mm²</t>
  </si>
  <si>
    <t xml:space="preserve"> 2 x η x fcd x b</t>
  </si>
  <si>
    <t>5) 사용철근량 : Asuse =  4645.2 mm², 철근도심 : dc =  133.3 mm [ 사용율 = 7.670 ]</t>
  </si>
  <si>
    <t>1단 : H 22 - 8 EA (=  3096.8 mm², dc1 =  100.0 mm)</t>
  </si>
  <si>
    <t>2단 : H 22 - 4 EA (=  1548.4 mm², dc2 =  200.0 mm)</t>
  </si>
  <si>
    <t>3단 : H 0 - 0 EA (=     0.0 mm², dc3 =   0.0 mm)</t>
  </si>
  <si>
    <t>6) 철근량 검토</t>
  </si>
  <si>
    <t>As,min = (0.25 √fck / fy) x b x d = 1972.0 mm²</t>
  </si>
  <si>
    <t xml:space="preserve">   = (1.4 / fy) x b x d = 1866.7 mm²</t>
  </si>
  <si>
    <t xml:space="preserve">   = As_req x 4 / 3 =  807.5 mm²</t>
  </si>
  <si>
    <t>As,use = 4645.2 mm² ≥ As,min =  807.5 mm²  ∴ O.K</t>
  </si>
  <si>
    <t>As,max = 0.04 x b x d = 26666.7 mm² ≥  As,use = 4645.2 mm²  ∴ O.K</t>
  </si>
  <si>
    <t>7) 중립축 깊이 검토</t>
  </si>
  <si>
    <t>Cmax = (δ x εcu / 0.0033 - 0.6) x d</t>
  </si>
  <si>
    <t xml:space="preserve"> = (1.0 x 0.00330 / 0.0033 - 0.6) x 666.7 = 266.7 mm</t>
  </si>
  <si>
    <t>C = Φs x As x fy / (α x Φc x 0.85 x fck x b)</t>
  </si>
  <si>
    <t xml:space="preserve">  = 0.90 x 4645.2 x 500 / (0.80 x 0.65 x 0.85 x 35 x 1000.0)</t>
  </si>
  <si>
    <t xml:space="preserve">  =  135.1 mm &lt; Cmax =  266.7 mm  ∴ O.K</t>
  </si>
  <si>
    <t>8) 인장철근 변형률</t>
  </si>
  <si>
    <t>εs = (d - C) / C x εcu</t>
  </si>
  <si>
    <t xml:space="preserve">    = (666.7 - 135.1) / 135.1 x 0.00330 = 0.01298 </t>
  </si>
  <si>
    <t>εyd = Φs x fy / Es</t>
  </si>
  <si>
    <t xml:space="preserve"> = 0.90 x 500 / 200000 = 0.00225  ≤ εs  ∴ 항복가정 O.K</t>
  </si>
  <si>
    <t>9) 설계 휨강도 산정</t>
  </si>
  <si>
    <t>Mr = As x Φs x fy x (d - β x c)</t>
  </si>
  <si>
    <t xml:space="preserve">   = 4645.2 x 0.90 x 500 x (666.7 - 0.40 x 135.1)</t>
  </si>
  <si>
    <t xml:space="preserve">   = 1280579487.6 N.mm  ≥ Mu = 179760000.0 N.mm  ∴ O.K  [S.F = 7.124]</t>
  </si>
  <si>
    <t>10) 전단검토</t>
  </si>
  <si>
    <t>Vcd = [0.85 x Φc x k x (p x fck)⅓ + 0.15 x fn] x b x d</t>
  </si>
  <si>
    <t xml:space="preserve">    = [0.85 x 0.65 x 1.548 x (0.006968 x 35.0)⅓ + 0.15 x 0.000] x 1000.0 x 666.7</t>
  </si>
  <si>
    <t xml:space="preserve">    =     356168 N</t>
  </si>
  <si>
    <t>k = 1 + √(200 / d) = 1 + √(200 / 666.7) = 1.548 (≤ 2.000)</t>
  </si>
  <si>
    <t>p = As / (b x d) = 4645.2 / (1000.0 x 666.7) = 0.006968 ≤ 0.0200</t>
  </si>
  <si>
    <t>fn = Nu / Ac = 0.000 MPa (≤ 0.2 Φc fck = 4.550 MPa, 압축의경우+)</t>
  </si>
  <si>
    <t>Vcd,min = (0.4 x Φc x fctk + 0.15 x fn] x b x d</t>
  </si>
  <si>
    <t xml:space="preserve">        = (0.4 x 0.65 x 2.415 + 0.15 x 0.000] x 1000.0 x 666.7</t>
  </si>
  <si>
    <t xml:space="preserve">        =    418611 N</t>
  </si>
  <si>
    <t>Vcd =    418611 N &lt; Vu =   1071048 N  ∴ 전단보강 필요</t>
  </si>
  <si>
    <t>cotΘ = 2.500 ( Θ = 21.8˚)</t>
  </si>
  <si>
    <t>1.0 ≤ cotΘ ≤ 2.5 → Θ 만족  ∴ O.K</t>
  </si>
  <si>
    <t>Av,use = 794.4 mm² ( H 16 - 4.000ea, C.T.C = 300.0 mm )</t>
  </si>
  <si>
    <t>Vsd = (Φs x fvy x Av x z / s) x cotθ</t>
  </si>
  <si>
    <t xml:space="preserve">    = (0.90 x 500.0 x 794.4 x 600.0 / 300.0) x 2.500</t>
  </si>
  <si>
    <t xml:space="preserve">    = 1787400 N ≥ Vu = 1071048 N  ∴ O.K</t>
  </si>
  <si>
    <t>Vsd,max = (v x Φc x fck x b x z) / (cotθ + tanθ)</t>
  </si>
  <si>
    <t xml:space="preserve">        = (0.516 x 0.65 x 35.0 x 1000.0 x 600.0) / ( 2.500 + 0.400 )</t>
  </si>
  <si>
    <t xml:space="preserve">        = 2428758 N ≤ Vsd = 1787400 N  ∴ O.K</t>
  </si>
  <si>
    <t>11) 최소 전단철근량 검토</t>
  </si>
  <si>
    <t>pv,min = (0.08 x √fck) / fvy = (0.08 x √35.0) / 500.0 = 0.000947</t>
  </si>
  <si>
    <t>pv,use = 794.4 / (300.0 x 1000.0 x sin90.0) = 0.002962 ≥ 0.000947 ∴ O.K</t>
  </si>
  <si>
    <t>12) 전단철근 간격검토</t>
  </si>
  <si>
    <t>- 종방향 Smax = 0.75 x 666.7 x (1 + cot90.0) = 500.0 ≥ 300.0   ∴ O.K</t>
  </si>
  <si>
    <t>- 횡방향 Smax = min(0.75 x 666.7, 600.0) = 500.0 ≥ 250.0   ∴ O.K</t>
  </si>
  <si>
    <t>13) 작용전단력에 의해 종방향 철근에 발생하는 추가인장력 검토</t>
  </si>
  <si>
    <t>ΔTr = (Mr - Mu) / z = (1280579487.6 - 179760000.0) / 666.7 = 1651229.2 N</t>
  </si>
  <si>
    <t>ΔT = 0.5 x Vu x (cotθ - cotα) = 0.5 x 1071048.0 x (cot21.8 - cot90.0)</t>
  </si>
  <si>
    <t xml:space="preserve">     = 1338810.0 N &lt; 1651229.2 N  → ∴ 추가 주철근 필요 없음</t>
  </si>
  <si>
    <t>14) 균열검토</t>
  </si>
  <si>
    <t xml:space="preserve"> - 한계상태 검증을 위한 설계등급 : E (표면 한계균열폭 0.3 mm)</t>
  </si>
  <si>
    <t xml:space="preserve"> ① 비균열 가정시 인장 연단 응력(사용하중조합-Ⅰ)</t>
  </si>
  <si>
    <t>ft = M / Zb = M / (b x h² / 6))</t>
  </si>
  <si>
    <t xml:space="preserve">   = 244177000.0 / (1000.0 x 800.0² / 6))</t>
  </si>
  <si>
    <t xml:space="preserve">   =        2.2 mm² &lt;  2.4 mm²  → ∴ 비균열단면으로 균열검토 필요없음</t>
  </si>
  <si>
    <t xml:space="preserve"> ──────────── As² - fyd x d x As + Mu = 0 ,   Asreq =  728.3mm²</t>
  </si>
  <si>
    <t>5) 사용철근량 : Asuse =  4645.2 mm², 철근도심 : dc =  133.3 mm [ 사용율 = 6.378 ]</t>
  </si>
  <si>
    <t xml:space="preserve">   = As_req x 4 / 3 =  971.1 mm²</t>
  </si>
  <si>
    <t>As,use = 4645.2 mm² ≥ As,min =  971.1 mm²  ∴ O.K</t>
  </si>
  <si>
    <t xml:space="preserve">   = 1280579487.6 N.mm  ≥ Mu = 215712000.0 N.mm  ∴ O.K  [S.F = 5.937]</t>
  </si>
  <si>
    <t>Vcd =    418611 N &lt; Vu =   1285258 N  ∴ 전단보강 필요</t>
  </si>
  <si>
    <t xml:space="preserve">    = 1787400 N ≥ Vu = 1285257 N  ∴ O.K</t>
  </si>
  <si>
    <t>ΔTr = (Mr - Mu) / z = (1280579487.6 - 215712000.0) / 666.7 = 1597301.2 N</t>
  </si>
  <si>
    <t>ΔT = 0.5 x Vu x (cotθ - cotα) = 0.5 x 1285257.6 x (cot21.8 - cot90.0)</t>
  </si>
  <si>
    <t xml:space="preserve">     = 1606572.0 N ≥ 1597301.2 N  → ∴ 추가 주철근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</si>
</sst>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#,#0#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Lines="3" dropStyle="combo" dx="16" fmlaLink="$Y$12" fmlaRange="$I$2:$I$4" noThreeD="1" sel="3" val="0"/>
</file>

<file path=xl/ctrlProps/ctrlProp2.xml><?xml version="1.0" encoding="utf-8"?>
<formControlPr xmlns="http://schemas.microsoft.com/office/spreadsheetml/2009/9/main" objectType="Drop" dropLines="3" dropStyle="combo" dx="16" fmlaLink="$K$12" fmlaRange="$I$6:$I$8" noThreeD="1" sel="3" val="0"/>
</file>

<file path=xl/ctrlProps/ctrlProp3.xml><?xml version="1.0" encoding="utf-8"?>
<formControlPr xmlns="http://schemas.microsoft.com/office/spreadsheetml/2009/9/main" objectType="Drop" dropLines="3" dropStyle="combo" dx="16" fmlaLink="$Y$12" fmlaRange="$I$2:$I$4" noThreeD="1" sel="3" val="0"/>
</file>

<file path=xl/ctrlProps/ctrlProp4.xml><?xml version="1.0" encoding="utf-8"?>
<formControlPr xmlns="http://schemas.microsoft.com/office/spreadsheetml/2009/9/main" objectType="Drop" dropLines="3" dropStyle="combo" dx="16" fmlaLink="$K$12" fmlaRange="$I$6:$I$8" noThreeD="1" sel="3" val="0"/>
</file>

<file path=xl/ctrlProps/ctrlProp5.xml><?xml version="1.0" encoding="utf-8"?>
<formControlPr xmlns="http://schemas.microsoft.com/office/spreadsheetml/2009/9/main" objectType="Drop" dropLines="3" dropStyle="combo" dx="16" fmlaLink="$Y$12" fmlaRange="$I$2:$I$4" noThreeD="1" sel="3" val="0"/>
</file>

<file path=xl/ctrlProps/ctrlProp6.xml><?xml version="1.0" encoding="utf-8"?>
<formControlPr xmlns="http://schemas.microsoft.com/office/spreadsheetml/2009/9/main" objectType="Drop" dropLines="3" dropStyle="combo" dx="16" fmlaLink="$K$12" fmlaRange="$I$6:$I$8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25</xdr:col>
          <xdr:colOff>15240</xdr:colOff>
          <xdr:row>12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</xdr:row>
          <xdr:rowOff>0</xdr:rowOff>
        </xdr:from>
        <xdr:to>
          <xdr:col>11</xdr:col>
          <xdr:colOff>0</xdr:colOff>
          <xdr:row>12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25</xdr:col>
          <xdr:colOff>15240</xdr:colOff>
          <xdr:row>13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</xdr:row>
          <xdr:rowOff>0</xdr:rowOff>
        </xdr:from>
        <xdr:to>
          <xdr:col>11</xdr:col>
          <xdr:colOff>0</xdr:colOff>
          <xdr:row>13</xdr:row>
          <xdr:rowOff>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25</xdr:col>
          <xdr:colOff>15240</xdr:colOff>
          <xdr:row>14</xdr:row>
          <xdr:rowOff>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</xdr:row>
          <xdr:rowOff>0</xdr:rowOff>
        </xdr:from>
        <xdr:to>
          <xdr:col>11</xdr:col>
          <xdr:colOff>0</xdr:colOff>
          <xdr:row>14</xdr:row>
          <xdr:rowOff>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workbookViewId="0">
      <selection activeCell="F29" sqref="F29"/>
    </sheetView>
  </sheetViews>
  <sheetFormatPr defaultColWidth="9" defaultRowHeight="15" customHeight="1" x14ac:dyDescent="0.4"/>
  <cols>
    <col min="1" max="2" width="2.59765625" style="1" customWidth="1"/>
    <col min="3" max="3" width="9.59765625" style="1" customWidth="1"/>
    <col min="4" max="4" width="7.5" style="1" customWidth="1"/>
    <col min="5" max="7" width="9.59765625" style="1" customWidth="1"/>
    <col min="8" max="8" width="6.09765625" style="1" bestFit="1" customWidth="1"/>
    <col min="9" max="9" width="9.59765625" style="1" customWidth="1"/>
    <col min="10" max="10" width="9.09765625" style="1" bestFit="1" customWidth="1"/>
    <col min="11" max="11" width="9.59765625" style="1" customWidth="1"/>
    <col min="12" max="12" width="7.796875" style="1" bestFit="1" customWidth="1"/>
    <col min="13" max="13" width="10.19921875" style="1" bestFit="1" customWidth="1"/>
    <col min="14" max="14" width="7.796875" style="1" bestFit="1" customWidth="1"/>
    <col min="15" max="16" width="9" style="1"/>
    <col min="17" max="17" width="4.19921875" style="1" bestFit="1" customWidth="1"/>
    <col min="18" max="19" width="7.796875" style="1" bestFit="1" customWidth="1"/>
    <col min="20" max="20" width="4.19921875" style="1" bestFit="1" customWidth="1"/>
    <col min="21" max="21" width="7.796875" style="1" bestFit="1" customWidth="1"/>
    <col min="22" max="22" width="7.69921875" style="1" customWidth="1"/>
    <col min="23" max="23" width="4.19921875" style="1" bestFit="1" customWidth="1"/>
    <col min="24" max="24" width="7.796875" style="1" bestFit="1" customWidth="1"/>
    <col min="25" max="25" width="9.3984375" style="1" customWidth="1"/>
    <col min="26" max="26" width="4.19921875" style="1" bestFit="1" customWidth="1"/>
    <col min="27" max="27" width="4.59765625" style="1" bestFit="1" customWidth="1"/>
    <col min="28" max="16384" width="9" style="1"/>
  </cols>
  <sheetData>
    <row r="1" spans="1:27" ht="15" customHeight="1" x14ac:dyDescent="0.4">
      <c r="C1" s="14" t="s">
        <v>53</v>
      </c>
    </row>
    <row r="2" spans="1:27" ht="15" customHeight="1" x14ac:dyDescent="0.4">
      <c r="C2" s="1" t="s">
        <v>41</v>
      </c>
      <c r="I2" s="6" t="s">
        <v>17</v>
      </c>
    </row>
    <row r="3" spans="1:27" ht="15" customHeight="1" x14ac:dyDescent="0.4">
      <c r="C3" s="4" t="s">
        <v>13</v>
      </c>
      <c r="D3" s="4" t="s">
        <v>14</v>
      </c>
      <c r="G3" s="9"/>
      <c r="H3" s="9"/>
      <c r="I3" s="6" t="s">
        <v>18</v>
      </c>
      <c r="J3" s="9"/>
      <c r="K3" s="9"/>
      <c r="L3" s="9"/>
    </row>
    <row r="4" spans="1:27" ht="15" customHeight="1" x14ac:dyDescent="0.4">
      <c r="A4" s="2"/>
      <c r="B4" s="2"/>
      <c r="C4" s="3">
        <v>35</v>
      </c>
      <c r="D4" s="3">
        <v>500</v>
      </c>
      <c r="G4" s="9"/>
      <c r="H4" s="9"/>
      <c r="I4" s="6" t="s">
        <v>20</v>
      </c>
      <c r="J4" s="9"/>
      <c r="K4" s="9"/>
      <c r="L4" s="9"/>
    </row>
    <row r="5" spans="1:27" ht="15" customHeight="1" x14ac:dyDescent="0.4">
      <c r="A5" s="2"/>
      <c r="C5" s="1" t="s">
        <v>46</v>
      </c>
      <c r="D5" s="9"/>
      <c r="E5" s="9"/>
      <c r="F5" s="9"/>
      <c r="G5" s="9"/>
      <c r="H5" s="9"/>
      <c r="J5" s="9"/>
      <c r="K5" s="9"/>
      <c r="L5" s="9"/>
    </row>
    <row r="6" spans="1:27" ht="15" customHeight="1" x14ac:dyDescent="0.4">
      <c r="A6" s="2"/>
      <c r="B6" s="2"/>
      <c r="C6" s="4" t="s">
        <v>0</v>
      </c>
      <c r="D6" s="4" t="s">
        <v>1</v>
      </c>
      <c r="E6" s="4" t="s">
        <v>39</v>
      </c>
      <c r="F6" s="9"/>
      <c r="G6" s="9"/>
      <c r="H6" s="9"/>
      <c r="I6" s="6" t="s">
        <v>35</v>
      </c>
      <c r="J6" s="9"/>
      <c r="K6" s="9"/>
      <c r="L6" s="9"/>
    </row>
    <row r="7" spans="1:27" ht="15" customHeight="1" x14ac:dyDescent="0.4">
      <c r="A7" s="2"/>
      <c r="B7" s="2"/>
      <c r="C7" s="3">
        <v>0.65</v>
      </c>
      <c r="D7" s="3">
        <v>0.9</v>
      </c>
      <c r="E7" s="3" t="s">
        <v>47</v>
      </c>
      <c r="F7" s="9"/>
      <c r="G7" s="9"/>
      <c r="H7" s="9"/>
      <c r="I7" s="6" t="s">
        <v>36</v>
      </c>
      <c r="J7" s="9"/>
      <c r="K7" s="9"/>
      <c r="L7" s="9"/>
    </row>
    <row r="8" spans="1:27" ht="15" customHeight="1" x14ac:dyDescent="0.4">
      <c r="A8" s="2"/>
      <c r="B8" s="2"/>
      <c r="C8" s="3">
        <v>1</v>
      </c>
      <c r="D8" s="3">
        <v>1</v>
      </c>
      <c r="E8" s="3" t="s">
        <v>40</v>
      </c>
      <c r="F8" s="9"/>
      <c r="G8" s="9"/>
      <c r="H8" s="9"/>
      <c r="I8" s="6" t="s">
        <v>37</v>
      </c>
      <c r="J8" s="9"/>
      <c r="K8" s="9"/>
      <c r="L8" s="9"/>
    </row>
    <row r="9" spans="1:27" ht="15" customHeight="1" x14ac:dyDescent="0.4">
      <c r="A9" s="2"/>
      <c r="B9" s="2"/>
      <c r="D9" s="9"/>
      <c r="E9" s="9"/>
      <c r="F9" s="9"/>
      <c r="G9" s="9"/>
      <c r="H9" s="9"/>
      <c r="I9" s="9"/>
      <c r="K9" s="9"/>
      <c r="L9" s="9"/>
      <c r="M9" s="1" t="s">
        <v>43</v>
      </c>
      <c r="V9" s="1" t="s">
        <v>44</v>
      </c>
    </row>
    <row r="10" spans="1:27" ht="15" customHeight="1" x14ac:dyDescent="0.4">
      <c r="A10" s="2"/>
      <c r="C10" s="1" t="s">
        <v>48</v>
      </c>
      <c r="D10" s="1" t="s">
        <v>42</v>
      </c>
      <c r="E10" s="9"/>
      <c r="F10" s="1" t="s">
        <v>45</v>
      </c>
      <c r="M10" s="11"/>
      <c r="N10" s="12" t="s">
        <v>10</v>
      </c>
      <c r="O10" s="13"/>
      <c r="P10" s="11"/>
      <c r="Q10" s="12" t="s">
        <v>11</v>
      </c>
      <c r="R10" s="13"/>
      <c r="S10" s="11"/>
      <c r="T10" s="12" t="s">
        <v>12</v>
      </c>
      <c r="U10" s="13"/>
    </row>
    <row r="11" spans="1:27" ht="15" customHeight="1" x14ac:dyDescent="0.4">
      <c r="A11" s="2"/>
      <c r="B11" s="2"/>
      <c r="C11" s="4" t="s">
        <v>49</v>
      </c>
      <c r="D11" s="4" t="s">
        <v>3</v>
      </c>
      <c r="E11" s="4" t="s">
        <v>2</v>
      </c>
      <c r="F11" s="5" t="s">
        <v>4</v>
      </c>
      <c r="G11" s="4" t="s">
        <v>5</v>
      </c>
      <c r="H11" s="4" t="s">
        <v>6</v>
      </c>
      <c r="I11" s="4" t="s">
        <v>33</v>
      </c>
      <c r="J11" s="4" t="s">
        <v>34</v>
      </c>
      <c r="K11" s="4" t="s">
        <v>38</v>
      </c>
      <c r="L11" s="4" t="s">
        <v>39</v>
      </c>
      <c r="M11" s="4" t="s">
        <v>9</v>
      </c>
      <c r="N11" s="4" t="s">
        <v>7</v>
      </c>
      <c r="O11" s="4" t="s">
        <v>8</v>
      </c>
      <c r="P11" s="4" t="s">
        <v>9</v>
      </c>
      <c r="Q11" s="4" t="s">
        <v>7</v>
      </c>
      <c r="R11" s="4" t="s">
        <v>8</v>
      </c>
      <c r="S11" s="4" t="s">
        <v>9</v>
      </c>
      <c r="T11" s="4" t="s">
        <v>7</v>
      </c>
      <c r="U11" s="4" t="s">
        <v>8</v>
      </c>
      <c r="V11" s="4" t="s">
        <v>9</v>
      </c>
      <c r="W11" s="4" t="s">
        <v>7</v>
      </c>
      <c r="X11" s="4" t="s">
        <v>15</v>
      </c>
      <c r="Y11" s="4" t="s">
        <v>16</v>
      </c>
      <c r="Z11" s="4" t="s">
        <v>19</v>
      </c>
      <c r="AA11" s="4" t="s">
        <v>21</v>
      </c>
    </row>
    <row r="12" spans="1:27" ht="15" customHeight="1" x14ac:dyDescent="0.4">
      <c r="A12" s="2"/>
      <c r="B12" s="2"/>
      <c r="C12" s="10" t="s">
        <v>50</v>
      </c>
      <c r="D12" s="3">
        <v>800</v>
      </c>
      <c r="E12" s="3">
        <v>1000</v>
      </c>
      <c r="F12" s="3">
        <v>179.76</v>
      </c>
      <c r="G12" s="3">
        <v>1071.048</v>
      </c>
      <c r="H12" s="3">
        <v>0</v>
      </c>
      <c r="I12" s="3">
        <v>244.17699999999999</v>
      </c>
      <c r="J12" s="3">
        <v>187.90899999999999</v>
      </c>
      <c r="K12" s="10">
        <v>3</v>
      </c>
      <c r="L12" s="3" t="str">
        <f>E7</f>
        <v>극한한계</v>
      </c>
      <c r="M12" s="3">
        <v>22</v>
      </c>
      <c r="N12" s="3">
        <v>8</v>
      </c>
      <c r="O12" s="3">
        <v>100</v>
      </c>
      <c r="P12" s="3">
        <v>22</v>
      </c>
      <c r="Q12" s="3">
        <v>4</v>
      </c>
      <c r="R12" s="3">
        <v>200</v>
      </c>
      <c r="S12" s="3">
        <v>0</v>
      </c>
      <c r="T12" s="3">
        <v>0</v>
      </c>
      <c r="U12" s="3">
        <v>0</v>
      </c>
      <c r="V12" s="3">
        <v>16</v>
      </c>
      <c r="W12" s="3">
        <v>4</v>
      </c>
      <c r="X12" s="3">
        <v>300</v>
      </c>
      <c r="Y12" s="3">
        <v>3</v>
      </c>
      <c r="Z12" s="3">
        <v>2.5</v>
      </c>
      <c r="AA12" s="3">
        <v>90</v>
      </c>
    </row>
    <row r="13" spans="1:27" ht="15" customHeight="1" x14ac:dyDescent="0.4">
      <c r="A13" s="2"/>
      <c r="B13" s="2"/>
      <c r="C13" s="10" t="s">
        <v>51</v>
      </c>
      <c r="D13" s="3">
        <v>800</v>
      </c>
      <c r="E13" s="3">
        <v>1000</v>
      </c>
      <c r="F13" s="3">
        <v>215.71199999999999</v>
      </c>
      <c r="G13" s="3">
        <v>1285.2575999999999</v>
      </c>
      <c r="H13" s="3">
        <v>0</v>
      </c>
      <c r="I13" s="3">
        <v>244.17699999999999</v>
      </c>
      <c r="J13" s="3">
        <v>187.90899999999999</v>
      </c>
      <c r="K13" s="10">
        <v>3</v>
      </c>
      <c r="L13" s="3" t="str">
        <f>E8</f>
        <v>극단상황한계</v>
      </c>
      <c r="M13" s="3">
        <v>22</v>
      </c>
      <c r="N13" s="3">
        <v>8</v>
      </c>
      <c r="O13" s="3">
        <v>100</v>
      </c>
      <c r="P13" s="3">
        <v>22</v>
      </c>
      <c r="Q13" s="3">
        <v>4</v>
      </c>
      <c r="R13" s="3">
        <v>200</v>
      </c>
      <c r="S13" s="3">
        <v>0</v>
      </c>
      <c r="T13" s="3">
        <v>0</v>
      </c>
      <c r="U13" s="3">
        <v>0</v>
      </c>
      <c r="V13" s="3">
        <v>16</v>
      </c>
      <c r="W13" s="3">
        <v>4</v>
      </c>
      <c r="X13" s="3">
        <v>300</v>
      </c>
      <c r="Y13" s="3">
        <v>3</v>
      </c>
      <c r="Z13" s="3">
        <v>2.5</v>
      </c>
      <c r="AA13" s="3">
        <v>90</v>
      </c>
    </row>
    <row r="14" spans="1:27" ht="15" customHeight="1" x14ac:dyDescent="0.4">
      <c r="A14" s="2"/>
      <c r="C14" s="10" t="s">
        <v>52</v>
      </c>
      <c r="D14" s="3">
        <v>800</v>
      </c>
      <c r="E14" s="3">
        <v>1000</v>
      </c>
      <c r="F14" s="3">
        <v>215.71199999999999</v>
      </c>
      <c r="G14" s="3">
        <v>1285.2575999999999</v>
      </c>
      <c r="H14" s="3">
        <v>0</v>
      </c>
      <c r="I14" s="3">
        <v>244.17699999999999</v>
      </c>
      <c r="J14" s="3">
        <v>187.90899999999999</v>
      </c>
      <c r="K14" s="10">
        <v>3</v>
      </c>
      <c r="L14" s="3" t="s">
        <v>47</v>
      </c>
      <c r="M14" s="3">
        <v>22</v>
      </c>
      <c r="N14" s="3">
        <v>8</v>
      </c>
      <c r="O14" s="3">
        <v>100</v>
      </c>
      <c r="P14" s="3">
        <v>22</v>
      </c>
      <c r="Q14" s="3">
        <v>4</v>
      </c>
      <c r="R14" s="3">
        <v>200</v>
      </c>
      <c r="S14" s="3">
        <v>0</v>
      </c>
      <c r="T14" s="3">
        <v>0</v>
      </c>
      <c r="U14" s="3">
        <v>0</v>
      </c>
      <c r="V14" s="3">
        <v>16</v>
      </c>
      <c r="W14" s="3">
        <v>4</v>
      </c>
      <c r="X14" s="3">
        <v>300</v>
      </c>
      <c r="Y14" s="3">
        <v>3</v>
      </c>
      <c r="Z14" s="3">
        <v>2.5</v>
      </c>
      <c r="AA14" s="3">
        <v>90</v>
      </c>
    </row>
    <row r="15" spans="1:27" ht="15" customHeight="1" x14ac:dyDescent="0.4">
      <c r="A15" s="2"/>
      <c r="B15" s="2"/>
    </row>
    <row r="16" spans="1:27" ht="15" customHeight="1" x14ac:dyDescent="0.4">
      <c r="A16" s="2"/>
      <c r="B16" s="2"/>
    </row>
    <row r="17" spans="1:2" ht="15" customHeight="1" x14ac:dyDescent="0.4">
      <c r="A17" s="2"/>
      <c r="B17" s="2"/>
    </row>
    <row r="18" spans="1:2" ht="15" customHeight="1" x14ac:dyDescent="0.4">
      <c r="A18" s="2"/>
    </row>
    <row r="19" spans="1:2" ht="15" customHeight="1" x14ac:dyDescent="0.4">
      <c r="A19" s="2"/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24</xdr:col>
                    <xdr:colOff>0</xdr:colOff>
                    <xdr:row>11</xdr:row>
                    <xdr:rowOff>0</xdr:rowOff>
                  </from>
                  <to>
                    <xdr:col>25</xdr:col>
                    <xdr:colOff>15240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10</xdr:col>
                    <xdr:colOff>0</xdr:colOff>
                    <xdr:row>11</xdr:row>
                    <xdr:rowOff>0</xdr:rowOff>
                  </from>
                  <to>
                    <xdr:col>11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24</xdr:col>
                    <xdr:colOff>0</xdr:colOff>
                    <xdr:row>12</xdr:row>
                    <xdr:rowOff>0</xdr:rowOff>
                  </from>
                  <to>
                    <xdr:col>25</xdr:col>
                    <xdr:colOff>15240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Line="0" autoPict="0">
                <anchor moveWithCells="1">
                  <from>
                    <xdr:col>10</xdr:col>
                    <xdr:colOff>0</xdr:colOff>
                    <xdr:row>12</xdr:row>
                    <xdr:rowOff>0</xdr:rowOff>
                  </from>
                  <to>
                    <xdr:col>11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Drop Down 5">
              <controlPr defaultSize="0" autoLine="0" autoPict="0">
                <anchor moveWithCells="1">
                  <from>
                    <xdr:col>24</xdr:col>
                    <xdr:colOff>0</xdr:colOff>
                    <xdr:row>13</xdr:row>
                    <xdr:rowOff>0</xdr:rowOff>
                  </from>
                  <to>
                    <xdr:col>25</xdr:col>
                    <xdr:colOff>15240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Drop Down 6">
              <controlPr defaultSize="0" autoLine="0" autoPict="0">
                <anchor moveWithCells="1">
                  <from>
                    <xdr:col>10</xdr:col>
                    <xdr:colOff>0</xdr:colOff>
                    <xdr:row>13</xdr:row>
                    <xdr:rowOff>0</xdr:rowOff>
                  </from>
                  <to>
                    <xdr:col>11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ABE8-5A6C-4C7F-ABDE-073C1E8BAE0A}">
  <dimension ref="A1:Z200"/>
  <sheetViews>
    <sheetView topLeftCell="A91" workbookViewId="0"/>
  </sheetViews>
  <sheetFormatPr defaultRowHeight="17.399999999999999" x14ac:dyDescent="0.4"/>
  <cols>
    <col min="1" max="26" width="3.69921875" customWidth="1"/>
  </cols>
  <sheetData>
    <row r="1" spans="1:26" ht="15" customHeight="1" x14ac:dyDescent="0.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customHeight="1" x14ac:dyDescent="0.4">
      <c r="A2" s="15"/>
      <c r="B2" s="15" t="s">
        <v>54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" customHeight="1" x14ac:dyDescent="0.4">
      <c r="A3" s="15"/>
      <c r="B3" s="15"/>
      <c r="C3" s="15" t="s">
        <v>55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" customHeight="1" x14ac:dyDescent="0.4">
      <c r="A4" s="15"/>
      <c r="B4" s="15"/>
      <c r="C4" s="15" t="s">
        <v>56</v>
      </c>
      <c r="D4" s="15"/>
      <c r="E4" s="15"/>
      <c r="F4" s="15" t="s">
        <v>57</v>
      </c>
      <c r="G4" s="15"/>
      <c r="H4" s="15"/>
      <c r="I4" s="15" t="s">
        <v>58</v>
      </c>
      <c r="J4" s="15"/>
      <c r="K4" s="15"/>
      <c r="L4" s="15" t="s">
        <v>59</v>
      </c>
      <c r="M4" s="15"/>
      <c r="N4" s="15"/>
      <c r="O4" s="15" t="s">
        <v>60</v>
      </c>
      <c r="P4" s="15"/>
      <c r="Q4" s="15"/>
      <c r="R4" s="15"/>
      <c r="S4" s="15"/>
      <c r="T4" s="15" t="s">
        <v>61</v>
      </c>
      <c r="U4" s="15"/>
      <c r="V4" s="15"/>
      <c r="W4" s="15"/>
      <c r="X4" s="15"/>
      <c r="Y4" s="15"/>
      <c r="Z4" s="15"/>
    </row>
    <row r="5" spans="1:26" ht="15" customHeight="1" x14ac:dyDescent="0.4">
      <c r="A5" s="15"/>
      <c r="B5" s="15"/>
      <c r="C5" s="15">
        <v>1000</v>
      </c>
      <c r="D5" s="15"/>
      <c r="E5" s="15"/>
      <c r="F5" s="15">
        <v>800</v>
      </c>
      <c r="G5" s="15"/>
      <c r="H5" s="15"/>
      <c r="I5" s="15">
        <v>666.66700000000003</v>
      </c>
      <c r="J5" s="15"/>
      <c r="K5" s="15"/>
      <c r="L5" s="15">
        <v>133.333</v>
      </c>
      <c r="M5" s="15"/>
      <c r="N5" s="15"/>
      <c r="O5" s="16">
        <v>215712000</v>
      </c>
      <c r="P5" s="15"/>
      <c r="Q5" s="15"/>
      <c r="R5" s="15"/>
      <c r="S5" s="15"/>
      <c r="T5" s="16">
        <v>1285257.5999999999</v>
      </c>
      <c r="U5" s="15"/>
      <c r="V5" s="15"/>
      <c r="W5" s="15"/>
      <c r="X5" s="15"/>
      <c r="Y5" s="15"/>
      <c r="Z5" s="15"/>
    </row>
    <row r="6" spans="1:26" ht="15" customHeight="1" x14ac:dyDescent="0.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" customHeight="1" x14ac:dyDescent="0.4">
      <c r="A7" s="15"/>
      <c r="B7" s="15" t="s">
        <v>62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 x14ac:dyDescent="0.4">
      <c r="A8" s="15"/>
      <c r="B8" s="15"/>
      <c r="C8" s="15" t="s">
        <v>63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64</v>
      </c>
      <c r="Q8" s="15">
        <v>2</v>
      </c>
      <c r="R8" s="15"/>
      <c r="S8" s="15"/>
      <c r="T8" s="15"/>
      <c r="U8" s="15"/>
      <c r="V8" s="15"/>
      <c r="W8" s="15"/>
      <c r="X8" s="15"/>
      <c r="Y8" s="15"/>
      <c r="Z8" s="15"/>
    </row>
    <row r="9" spans="1:26" ht="15" customHeight="1" x14ac:dyDescent="0.4">
      <c r="A9" s="15"/>
      <c r="B9" s="15"/>
      <c r="C9" s="15" t="s">
        <v>65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 t="s">
        <v>64</v>
      </c>
      <c r="Q9" s="15">
        <v>2E-3</v>
      </c>
      <c r="R9" s="15"/>
      <c r="S9" s="15"/>
      <c r="T9" s="15"/>
      <c r="U9" s="15"/>
      <c r="V9" s="15"/>
      <c r="W9" s="15"/>
      <c r="X9" s="15"/>
      <c r="Y9" s="15"/>
      <c r="Z9" s="15"/>
    </row>
    <row r="10" spans="1:26" ht="15" customHeight="1" x14ac:dyDescent="0.4">
      <c r="A10" s="15"/>
      <c r="B10" s="15"/>
      <c r="C10" s="15" t="s">
        <v>66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 t="s">
        <v>64</v>
      </c>
      <c r="Q10" s="15">
        <v>3.3E-3</v>
      </c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customHeight="1" x14ac:dyDescent="0.4">
      <c r="A11" s="15"/>
      <c r="B11" s="15"/>
      <c r="C11" s="15" t="s">
        <v>67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 t="s">
        <v>64</v>
      </c>
      <c r="Q11" s="15">
        <v>0.85</v>
      </c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customHeight="1" x14ac:dyDescent="0.4">
      <c r="A12" s="15"/>
      <c r="B12" s="15"/>
      <c r="C12" s="15" t="s">
        <v>68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 t="s">
        <v>64</v>
      </c>
      <c r="Q12" s="15">
        <v>19.337499999999999</v>
      </c>
      <c r="R12" s="15"/>
      <c r="S12" s="15" t="s">
        <v>69</v>
      </c>
      <c r="T12" s="15"/>
      <c r="U12" s="15"/>
      <c r="V12" s="15"/>
      <c r="W12" s="15"/>
      <c r="X12" s="15"/>
      <c r="Y12" s="15"/>
      <c r="Z12" s="15"/>
    </row>
    <row r="13" spans="1:26" ht="15" customHeight="1" x14ac:dyDescent="0.4">
      <c r="A13" s="15"/>
      <c r="B13" s="15"/>
      <c r="C13" s="15" t="s">
        <v>70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 t="s">
        <v>64</v>
      </c>
      <c r="Q13" s="15">
        <v>39</v>
      </c>
      <c r="R13" s="15"/>
      <c r="S13" s="15" t="s">
        <v>69</v>
      </c>
      <c r="T13" s="15"/>
      <c r="U13" s="15"/>
      <c r="V13" s="15"/>
      <c r="W13" s="15"/>
      <c r="X13" s="15"/>
      <c r="Y13" s="15"/>
      <c r="Z13" s="15"/>
    </row>
    <row r="14" spans="1:26" ht="15" customHeight="1" x14ac:dyDescent="0.4">
      <c r="A14" s="15"/>
      <c r="B14" s="15"/>
      <c r="C14" s="15" t="s">
        <v>71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 t="s">
        <v>64</v>
      </c>
      <c r="Q14" s="15">
        <v>32640.410139011354</v>
      </c>
      <c r="R14" s="15"/>
      <c r="S14" s="15" t="s">
        <v>69</v>
      </c>
      <c r="T14" s="15"/>
      <c r="U14" s="15"/>
      <c r="V14" s="15"/>
      <c r="W14" s="15"/>
      <c r="X14" s="15"/>
      <c r="Y14" s="15"/>
      <c r="Z14" s="15"/>
    </row>
    <row r="15" spans="1:26" ht="15" customHeight="1" x14ac:dyDescent="0.4">
      <c r="A15" s="15"/>
      <c r="B15" s="15"/>
      <c r="C15" s="15" t="s">
        <v>72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 t="s">
        <v>64</v>
      </c>
      <c r="Q15" s="15">
        <v>0.8</v>
      </c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4">
      <c r="A16" s="15"/>
      <c r="B16" s="15"/>
      <c r="C16" s="15" t="s">
        <v>73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 t="s">
        <v>64</v>
      </c>
      <c r="Q16" s="15">
        <v>0.4</v>
      </c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4">
      <c r="A17" s="15"/>
      <c r="B17" s="15"/>
      <c r="C17" s="15" t="s">
        <v>74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 t="s">
        <v>64</v>
      </c>
      <c r="Q17" s="15">
        <v>1</v>
      </c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" customHeight="1" x14ac:dyDescent="0.4">
      <c r="A18" s="15"/>
      <c r="B18" s="15"/>
      <c r="C18" s="15" t="s">
        <v>75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 t="s">
        <v>64</v>
      </c>
      <c r="Q18" s="15">
        <v>0.8</v>
      </c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 x14ac:dyDescent="0.4">
      <c r="A20" s="15"/>
      <c r="B20" s="15" t="s">
        <v>76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4">
      <c r="A21" s="15"/>
      <c r="B21" s="15"/>
      <c r="C21" s="15" t="s">
        <v>77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 t="s">
        <v>64</v>
      </c>
      <c r="Q21" s="15">
        <v>450</v>
      </c>
      <c r="R21" s="15"/>
      <c r="S21" s="15" t="s">
        <v>69</v>
      </c>
      <c r="T21" s="15"/>
      <c r="U21" s="15"/>
      <c r="V21" s="15"/>
      <c r="W21" s="15"/>
      <c r="X21" s="15"/>
      <c r="Y21" s="15"/>
      <c r="Z21" s="15"/>
    </row>
    <row r="22" spans="1:26" ht="15" customHeight="1" x14ac:dyDescent="0.4">
      <c r="A22" s="15"/>
      <c r="B22" s="15"/>
      <c r="C22" s="15" t="s">
        <v>78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 t="s">
        <v>64</v>
      </c>
      <c r="Q22" s="15">
        <v>2.2499999999999998E-3</v>
      </c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4">
      <c r="A24" s="15"/>
      <c r="B24" s="15" t="s">
        <v>79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4">
      <c r="A25" s="15"/>
      <c r="B25" s="15"/>
      <c r="C25" s="15" t="s">
        <v>80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4">
      <c r="A26" s="15"/>
      <c r="B26" s="15"/>
      <c r="C26" s="15" t="s">
        <v>81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4">
      <c r="A27" s="15"/>
      <c r="B27" s="15"/>
      <c r="C27" s="15" t="s">
        <v>82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4">
      <c r="A28" s="15"/>
      <c r="B28" s="15"/>
      <c r="C28" s="15"/>
      <c r="D28" s="15"/>
      <c r="E28" s="15"/>
      <c r="F28" s="15" t="s">
        <v>83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4">
      <c r="A29" s="15"/>
      <c r="B29" s="15"/>
      <c r="C29" s="15" t="s">
        <v>147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4">
      <c r="A30" s="15"/>
      <c r="B30" s="15"/>
      <c r="C30" s="15"/>
      <c r="D30" s="15" t="s">
        <v>85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" customHeight="1" x14ac:dyDescent="0.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" customHeight="1" x14ac:dyDescent="0.4">
      <c r="A32" s="15"/>
      <c r="B32" s="15" t="s">
        <v>148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" customHeight="1" x14ac:dyDescent="0.4">
      <c r="A33" s="15"/>
      <c r="B33" s="15"/>
      <c r="C33" s="15"/>
      <c r="D33" s="15"/>
      <c r="E33" s="15"/>
      <c r="F33" s="15" t="s">
        <v>87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4">
      <c r="A34" s="15"/>
      <c r="B34" s="15"/>
      <c r="C34" s="15"/>
      <c r="D34" s="15"/>
      <c r="E34" s="15"/>
      <c r="F34" s="15" t="s">
        <v>88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customHeight="1" x14ac:dyDescent="0.4">
      <c r="A35" s="15"/>
      <c r="B35" s="15"/>
      <c r="C35" s="15"/>
      <c r="D35" s="15"/>
      <c r="E35" s="15"/>
      <c r="F35" s="15" t="s">
        <v>89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" customHeight="1" x14ac:dyDescent="0.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4">
      <c r="A37" s="15"/>
      <c r="B37" s="15" t="s">
        <v>90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" customHeight="1" x14ac:dyDescent="0.4">
      <c r="A38" s="15"/>
      <c r="B38" s="15"/>
      <c r="C38" s="15" t="s">
        <v>91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4">
      <c r="A39" s="15"/>
      <c r="B39" s="15"/>
      <c r="C39" s="15"/>
      <c r="D39" s="15" t="s">
        <v>92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" customHeight="1" x14ac:dyDescent="0.4">
      <c r="A40" s="15"/>
      <c r="B40" s="15"/>
      <c r="C40" s="15"/>
      <c r="D40" s="15" t="s">
        <v>149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customHeight="1" x14ac:dyDescent="0.4">
      <c r="A41" s="15"/>
      <c r="B41" s="15"/>
      <c r="C41" s="15" t="s">
        <v>150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customHeight="1" x14ac:dyDescent="0.4">
      <c r="A42" s="15"/>
      <c r="B42" s="15"/>
      <c r="C42" s="15" t="s">
        <v>95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" customHeight="1" x14ac:dyDescent="0.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" customHeight="1" x14ac:dyDescent="0.4">
      <c r="A44" s="15"/>
      <c r="B44" s="15" t="s">
        <v>96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" customHeight="1" x14ac:dyDescent="0.4">
      <c r="A45" s="15"/>
      <c r="B45" s="15"/>
      <c r="C45" s="15" t="s">
        <v>97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" customHeight="1" x14ac:dyDescent="0.4">
      <c r="A46" s="15"/>
      <c r="B46" s="15"/>
      <c r="C46" s="15"/>
      <c r="D46" s="15" t="s">
        <v>98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" customHeight="1" x14ac:dyDescent="0.4">
      <c r="A47" s="15"/>
      <c r="B47" s="15"/>
      <c r="C47" s="15" t="s">
        <v>99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" customHeight="1" x14ac:dyDescent="0.4">
      <c r="A48" s="15"/>
      <c r="B48" s="15"/>
      <c r="C48" s="15" t="s">
        <v>100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" customHeight="1" x14ac:dyDescent="0.4">
      <c r="A49" s="15"/>
      <c r="B49" s="15"/>
      <c r="C49" s="15" t="s">
        <v>101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" customHeight="1" x14ac:dyDescent="0.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" customHeight="1" x14ac:dyDescent="0.4">
      <c r="A51" s="15"/>
      <c r="B51" s="15" t="s">
        <v>102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" customHeight="1" x14ac:dyDescent="0.4">
      <c r="A52" s="15"/>
      <c r="B52" s="15"/>
      <c r="C52" s="15" t="s">
        <v>103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customHeight="1" x14ac:dyDescent="0.4">
      <c r="A53" s="15"/>
      <c r="B53" s="15"/>
      <c r="C53" s="15" t="s">
        <v>104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 x14ac:dyDescent="0.4">
      <c r="A54" s="15"/>
      <c r="B54" s="15"/>
      <c r="C54" s="15" t="s">
        <v>105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customHeight="1" x14ac:dyDescent="0.4">
      <c r="A55" s="15"/>
      <c r="B55" s="15"/>
      <c r="C55" s="15"/>
      <c r="D55" s="15" t="s">
        <v>106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" customHeight="1" x14ac:dyDescent="0.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 x14ac:dyDescent="0.4">
      <c r="A57" s="15"/>
      <c r="B57" s="15" t="s">
        <v>107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" customHeight="1" x14ac:dyDescent="0.4">
      <c r="A58" s="15"/>
      <c r="B58" s="15"/>
      <c r="C58" s="15" t="s">
        <v>108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customHeight="1" x14ac:dyDescent="0.4">
      <c r="A59" s="15"/>
      <c r="B59" s="15"/>
      <c r="C59" s="15" t="s">
        <v>109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customHeight="1" x14ac:dyDescent="0.4">
      <c r="A60" s="15"/>
      <c r="B60" s="15"/>
      <c r="C60" s="15" t="s">
        <v>151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customHeight="1" x14ac:dyDescent="0.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customHeight="1" x14ac:dyDescent="0.4">
      <c r="A62" s="15"/>
      <c r="B62" s="15" t="s">
        <v>111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 x14ac:dyDescent="0.4">
      <c r="A63" s="15"/>
      <c r="B63" s="15"/>
      <c r="C63" s="15" t="s">
        <v>112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" customHeight="1" x14ac:dyDescent="0.4">
      <c r="A64" s="15"/>
      <c r="B64" s="15"/>
      <c r="C64" s="15" t="s">
        <v>113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" customHeight="1" x14ac:dyDescent="0.4">
      <c r="A65" s="15"/>
      <c r="B65" s="15"/>
      <c r="C65" s="15" t="s">
        <v>114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" customHeight="1" x14ac:dyDescent="0.4">
      <c r="A66" s="15"/>
      <c r="B66" s="15"/>
      <c r="C66" s="15"/>
      <c r="D66" s="15" t="s">
        <v>115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" customHeight="1" x14ac:dyDescent="0.4">
      <c r="A67" s="15"/>
      <c r="B67" s="15"/>
      <c r="C67" s="15"/>
      <c r="D67" s="15" t="s">
        <v>116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" customHeight="1" x14ac:dyDescent="0.4">
      <c r="A68" s="15"/>
      <c r="B68" s="15"/>
      <c r="C68" s="15"/>
      <c r="D68" s="15" t="s">
        <v>117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" customHeight="1" x14ac:dyDescent="0.4">
      <c r="A69" s="15"/>
      <c r="B69" s="15"/>
      <c r="C69" s="15" t="s">
        <v>118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" customHeight="1" x14ac:dyDescent="0.4">
      <c r="A70" s="15"/>
      <c r="B70" s="15"/>
      <c r="C70" s="15" t="s">
        <v>119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" customHeight="1" x14ac:dyDescent="0.4">
      <c r="A71" s="15"/>
      <c r="B71" s="15"/>
      <c r="C71" s="15" t="s">
        <v>120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" customHeight="1" x14ac:dyDescent="0.4">
      <c r="A72" s="15"/>
      <c r="B72" s="15"/>
      <c r="C72" s="15" t="s">
        <v>152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" customHeight="1" x14ac:dyDescent="0.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" customHeight="1" x14ac:dyDescent="0.4">
      <c r="A74" s="15"/>
      <c r="B74" s="15"/>
      <c r="C74" s="15" t="s">
        <v>122</v>
      </c>
      <c r="D74" s="15"/>
      <c r="E74" s="15"/>
      <c r="F74" s="15"/>
      <c r="G74" s="15"/>
      <c r="H74" s="15"/>
      <c r="I74" s="15"/>
      <c r="J74" s="15"/>
      <c r="K74" s="15"/>
      <c r="L74" s="15" t="s">
        <v>123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" customHeight="1" x14ac:dyDescent="0.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" customHeight="1" x14ac:dyDescent="0.4">
      <c r="A76" s="15"/>
      <c r="B76" s="15"/>
      <c r="C76" s="15" t="s">
        <v>124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" customHeight="1" x14ac:dyDescent="0.4">
      <c r="A77" s="15"/>
      <c r="B77" s="15"/>
      <c r="C77" s="15" t="s">
        <v>125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" customHeight="1" x14ac:dyDescent="0.4">
      <c r="A78" s="15"/>
      <c r="B78" s="15"/>
      <c r="C78" s="15" t="s">
        <v>126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" customHeight="1" x14ac:dyDescent="0.4">
      <c r="A79" s="15"/>
      <c r="B79" s="15"/>
      <c r="C79" s="15" t="s">
        <v>153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" customHeight="1" x14ac:dyDescent="0.4">
      <c r="A80" s="15"/>
      <c r="B80" s="15"/>
      <c r="C80" s="15" t="s">
        <v>128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" customHeight="1" x14ac:dyDescent="0.4">
      <c r="A81" s="15"/>
      <c r="B81" s="15"/>
      <c r="C81" s="15" t="s">
        <v>129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" customHeight="1" x14ac:dyDescent="0.4">
      <c r="A82" s="15"/>
      <c r="B82" s="15"/>
      <c r="C82" s="15" t="s">
        <v>130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" customHeight="1" x14ac:dyDescent="0.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" customHeight="1" x14ac:dyDescent="0.4">
      <c r="A84" s="15"/>
      <c r="B84" s="15" t="s">
        <v>131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" customHeight="1" x14ac:dyDescent="0.4">
      <c r="A85" s="15"/>
      <c r="B85" s="15"/>
      <c r="C85" s="15" t="s">
        <v>132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" customHeight="1" x14ac:dyDescent="0.4">
      <c r="A86" s="15"/>
      <c r="B86" s="15"/>
      <c r="C86" s="15" t="s">
        <v>133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" customHeight="1" x14ac:dyDescent="0.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" customHeight="1" x14ac:dyDescent="0.4">
      <c r="A88" s="15"/>
      <c r="B88" s="15" t="s">
        <v>134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" customHeight="1" x14ac:dyDescent="0.4">
      <c r="A89" s="15"/>
      <c r="B89" s="15"/>
      <c r="C89" s="15" t="s">
        <v>135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" customHeight="1" x14ac:dyDescent="0.4">
      <c r="A90" s="15"/>
      <c r="B90" s="15"/>
      <c r="C90" s="15" t="s">
        <v>136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" customHeight="1" x14ac:dyDescent="0.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" customHeight="1" x14ac:dyDescent="0.4">
      <c r="A92" s="15"/>
      <c r="B92" s="15" t="s">
        <v>137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" customHeight="1" x14ac:dyDescent="0.4">
      <c r="A93" s="15"/>
      <c r="B93" s="15"/>
      <c r="C93" s="15" t="s">
        <v>154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" customHeight="1" x14ac:dyDescent="0.4">
      <c r="A94" s="15"/>
      <c r="B94" s="15"/>
      <c r="C94" s="15" t="s">
        <v>155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" customHeight="1" x14ac:dyDescent="0.4">
      <c r="A95" s="15"/>
      <c r="B95" s="15"/>
      <c r="C95" s="15" t="s">
        <v>156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" customHeight="1" x14ac:dyDescent="0.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" customHeight="1" x14ac:dyDescent="0.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" customHeight="1" x14ac:dyDescent="0.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" customHeight="1" x14ac:dyDescent="0.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" customHeight="1" x14ac:dyDescent="0.4">
      <c r="A100" s="15"/>
      <c r="B100" s="15" t="s">
        <v>141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" customHeight="1" x14ac:dyDescent="0.4">
      <c r="B101" t="s">
        <v>142</v>
      </c>
    </row>
    <row r="102" spans="1:26" ht="15" customHeight="1" x14ac:dyDescent="0.4">
      <c r="B102" t="s">
        <v>143</v>
      </c>
    </row>
    <row r="103" spans="1:26" ht="15" customHeight="1" x14ac:dyDescent="0.4">
      <c r="C103" t="s">
        <v>144</v>
      </c>
    </row>
    <row r="104" spans="1:26" ht="15" customHeight="1" x14ac:dyDescent="0.4">
      <c r="C104" t="s">
        <v>145</v>
      </c>
    </row>
    <row r="105" spans="1:26" ht="15" customHeight="1" x14ac:dyDescent="0.4">
      <c r="C105" t="s">
        <v>146</v>
      </c>
    </row>
    <row r="106" spans="1:26" ht="15" customHeight="1" x14ac:dyDescent="0.4"/>
    <row r="107" spans="1:26" ht="15" customHeight="1" x14ac:dyDescent="0.4"/>
    <row r="108" spans="1:26" ht="15" customHeight="1" x14ac:dyDescent="0.4"/>
    <row r="109" spans="1:26" ht="15" customHeight="1" x14ac:dyDescent="0.4"/>
    <row r="110" spans="1:26" ht="15" customHeight="1" x14ac:dyDescent="0.4"/>
    <row r="111" spans="1:26" ht="15" customHeight="1" x14ac:dyDescent="0.4"/>
    <row r="112" spans="1:26" ht="15" customHeight="1" x14ac:dyDescent="0.4"/>
    <row r="113" ht="15" customHeight="1" x14ac:dyDescent="0.4"/>
    <row r="114" ht="15" customHeight="1" x14ac:dyDescent="0.4"/>
    <row r="115" ht="15" customHeight="1" x14ac:dyDescent="0.4"/>
    <row r="116" ht="15" customHeight="1" x14ac:dyDescent="0.4"/>
    <row r="117" ht="15" customHeight="1" x14ac:dyDescent="0.4"/>
    <row r="118" ht="15" customHeight="1" x14ac:dyDescent="0.4"/>
    <row r="119" ht="15" customHeight="1" x14ac:dyDescent="0.4"/>
    <row r="120" ht="15" customHeight="1" x14ac:dyDescent="0.4"/>
    <row r="121" ht="15" customHeight="1" x14ac:dyDescent="0.4"/>
    <row r="122" ht="15" customHeight="1" x14ac:dyDescent="0.4"/>
    <row r="123" ht="15" customHeight="1" x14ac:dyDescent="0.4"/>
    <row r="124" ht="15" customHeight="1" x14ac:dyDescent="0.4"/>
    <row r="125" ht="15" customHeight="1" x14ac:dyDescent="0.4"/>
    <row r="126" ht="15" customHeight="1" x14ac:dyDescent="0.4"/>
    <row r="127" ht="15" customHeight="1" x14ac:dyDescent="0.4"/>
    <row r="128" ht="15" customHeight="1" x14ac:dyDescent="0.4"/>
    <row r="129" ht="15" customHeight="1" x14ac:dyDescent="0.4"/>
    <row r="130" ht="15" customHeight="1" x14ac:dyDescent="0.4"/>
    <row r="131" ht="15" customHeight="1" x14ac:dyDescent="0.4"/>
    <row r="132" ht="15" customHeight="1" x14ac:dyDescent="0.4"/>
    <row r="133" ht="15" customHeight="1" x14ac:dyDescent="0.4"/>
    <row r="134" ht="15" customHeight="1" x14ac:dyDescent="0.4"/>
    <row r="135" ht="15" customHeight="1" x14ac:dyDescent="0.4"/>
    <row r="136" ht="15" customHeight="1" x14ac:dyDescent="0.4"/>
    <row r="137" ht="15" customHeight="1" x14ac:dyDescent="0.4"/>
    <row r="138" ht="15" customHeight="1" x14ac:dyDescent="0.4"/>
    <row r="139" ht="15" customHeight="1" x14ac:dyDescent="0.4"/>
    <row r="140" ht="15" customHeight="1" x14ac:dyDescent="0.4"/>
    <row r="141" ht="15" customHeight="1" x14ac:dyDescent="0.4"/>
    <row r="142" ht="15" customHeight="1" x14ac:dyDescent="0.4"/>
    <row r="143" ht="15" customHeight="1" x14ac:dyDescent="0.4"/>
    <row r="144" ht="15" customHeight="1" x14ac:dyDescent="0.4"/>
    <row r="145" ht="15" customHeight="1" x14ac:dyDescent="0.4"/>
    <row r="146" ht="15" customHeight="1" x14ac:dyDescent="0.4"/>
    <row r="147" ht="15" customHeight="1" x14ac:dyDescent="0.4"/>
    <row r="148" ht="15" customHeight="1" x14ac:dyDescent="0.4"/>
    <row r="149" ht="15" customHeight="1" x14ac:dyDescent="0.4"/>
    <row r="150" ht="15" customHeight="1" x14ac:dyDescent="0.4"/>
    <row r="151" ht="15" customHeight="1" x14ac:dyDescent="0.4"/>
    <row r="152" ht="15" customHeight="1" x14ac:dyDescent="0.4"/>
    <row r="153" ht="15" customHeight="1" x14ac:dyDescent="0.4"/>
    <row r="154" ht="15" customHeight="1" x14ac:dyDescent="0.4"/>
    <row r="155" ht="15" customHeight="1" x14ac:dyDescent="0.4"/>
    <row r="156" ht="15" customHeight="1" x14ac:dyDescent="0.4"/>
    <row r="157" ht="15" customHeight="1" x14ac:dyDescent="0.4"/>
    <row r="158" ht="15" customHeight="1" x14ac:dyDescent="0.4"/>
    <row r="159" ht="15" customHeight="1" x14ac:dyDescent="0.4"/>
    <row r="160" ht="15" customHeight="1" x14ac:dyDescent="0.4"/>
    <row r="161" ht="15" customHeight="1" x14ac:dyDescent="0.4"/>
    <row r="162" ht="15" customHeight="1" x14ac:dyDescent="0.4"/>
    <row r="163" ht="15" customHeight="1" x14ac:dyDescent="0.4"/>
    <row r="164" ht="15" customHeight="1" x14ac:dyDescent="0.4"/>
    <row r="165" ht="15" customHeight="1" x14ac:dyDescent="0.4"/>
    <row r="166" ht="15" customHeight="1" x14ac:dyDescent="0.4"/>
    <row r="167" ht="15" customHeight="1" x14ac:dyDescent="0.4"/>
    <row r="168" ht="15" customHeight="1" x14ac:dyDescent="0.4"/>
    <row r="169" ht="15" customHeight="1" x14ac:dyDescent="0.4"/>
    <row r="170" ht="15" customHeight="1" x14ac:dyDescent="0.4"/>
    <row r="171" ht="15" customHeight="1" x14ac:dyDescent="0.4"/>
    <row r="172" ht="15" customHeight="1" x14ac:dyDescent="0.4"/>
    <row r="173" ht="15" customHeight="1" x14ac:dyDescent="0.4"/>
    <row r="174" ht="15" customHeight="1" x14ac:dyDescent="0.4"/>
    <row r="175" ht="15" customHeight="1" x14ac:dyDescent="0.4"/>
    <row r="176" ht="15" customHeight="1" x14ac:dyDescent="0.4"/>
    <row r="177" ht="15" customHeight="1" x14ac:dyDescent="0.4"/>
    <row r="178" ht="15" customHeight="1" x14ac:dyDescent="0.4"/>
    <row r="179" ht="15" customHeight="1" x14ac:dyDescent="0.4"/>
    <row r="180" ht="15" customHeight="1" x14ac:dyDescent="0.4"/>
    <row r="181" ht="15" customHeight="1" x14ac:dyDescent="0.4"/>
    <row r="182" ht="15" customHeight="1" x14ac:dyDescent="0.4"/>
    <row r="183" ht="15" customHeight="1" x14ac:dyDescent="0.4"/>
    <row r="184" ht="15" customHeight="1" x14ac:dyDescent="0.4"/>
    <row r="185" ht="15" customHeight="1" x14ac:dyDescent="0.4"/>
    <row r="186" ht="15" customHeight="1" x14ac:dyDescent="0.4"/>
    <row r="187" ht="15" customHeight="1" x14ac:dyDescent="0.4"/>
    <row r="188" ht="15" customHeight="1" x14ac:dyDescent="0.4"/>
    <row r="189" ht="15" customHeight="1" x14ac:dyDescent="0.4"/>
    <row r="190" ht="15" customHeight="1" x14ac:dyDescent="0.4"/>
    <row r="191" ht="15" customHeight="1" x14ac:dyDescent="0.4"/>
    <row r="192" ht="15" customHeight="1" x14ac:dyDescent="0.4"/>
    <row r="193" ht="15" customHeight="1" x14ac:dyDescent="0.4"/>
    <row r="194" ht="15" customHeight="1" x14ac:dyDescent="0.4"/>
    <row r="195" ht="15" customHeight="1" x14ac:dyDescent="0.4"/>
    <row r="196" ht="15" customHeight="1" x14ac:dyDescent="0.4"/>
    <row r="197" ht="15" customHeight="1" x14ac:dyDescent="0.4"/>
    <row r="198" ht="15" customHeight="1" x14ac:dyDescent="0.4"/>
    <row r="199" ht="15" customHeight="1" x14ac:dyDescent="0.4"/>
    <row r="200" ht="15" customHeight="1" x14ac:dyDescent="0.4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DD06-2F51-4CD5-B374-5C8C567B624F}">
  <dimension ref="A1:Z200"/>
  <sheetViews>
    <sheetView workbookViewId="0"/>
  </sheetViews>
  <sheetFormatPr defaultRowHeight="17.399999999999999" x14ac:dyDescent="0.4"/>
  <cols>
    <col min="1" max="26" width="3.69921875" customWidth="1"/>
  </cols>
  <sheetData>
    <row r="1" spans="1:26" ht="15" customHeight="1" x14ac:dyDescent="0.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customHeight="1" x14ac:dyDescent="0.4">
      <c r="A2" s="15"/>
      <c r="B2" s="15" t="s">
        <v>54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" customHeight="1" x14ac:dyDescent="0.4">
      <c r="A3" s="15"/>
      <c r="B3" s="15"/>
      <c r="C3" s="15" t="s">
        <v>55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" customHeight="1" x14ac:dyDescent="0.4">
      <c r="A4" s="15"/>
      <c r="B4" s="15"/>
      <c r="C4" s="15" t="s">
        <v>56</v>
      </c>
      <c r="D4" s="15"/>
      <c r="E4" s="15"/>
      <c r="F4" s="15" t="s">
        <v>57</v>
      </c>
      <c r="G4" s="15"/>
      <c r="H4" s="15"/>
      <c r="I4" s="15" t="s">
        <v>58</v>
      </c>
      <c r="J4" s="15"/>
      <c r="K4" s="15"/>
      <c r="L4" s="15" t="s">
        <v>59</v>
      </c>
      <c r="M4" s="15"/>
      <c r="N4" s="15"/>
      <c r="O4" s="15" t="s">
        <v>60</v>
      </c>
      <c r="P4" s="15"/>
      <c r="Q4" s="15"/>
      <c r="R4" s="15"/>
      <c r="S4" s="15"/>
      <c r="T4" s="15" t="s">
        <v>61</v>
      </c>
      <c r="U4" s="15"/>
      <c r="V4" s="15"/>
      <c r="W4" s="15"/>
      <c r="X4" s="15"/>
      <c r="Y4" s="15"/>
      <c r="Z4" s="15"/>
    </row>
    <row r="5" spans="1:26" ht="15" customHeight="1" x14ac:dyDescent="0.4">
      <c r="A5" s="15"/>
      <c r="B5" s="15"/>
      <c r="C5" s="15">
        <v>1000</v>
      </c>
      <c r="D5" s="15"/>
      <c r="E5" s="15"/>
      <c r="F5" s="15">
        <v>800</v>
      </c>
      <c r="G5" s="15"/>
      <c r="H5" s="15"/>
      <c r="I5" s="15">
        <v>666.66700000000003</v>
      </c>
      <c r="J5" s="15"/>
      <c r="K5" s="15"/>
      <c r="L5" s="15">
        <v>133.333</v>
      </c>
      <c r="M5" s="15"/>
      <c r="N5" s="15"/>
      <c r="O5" s="16">
        <v>215712000</v>
      </c>
      <c r="P5" s="15"/>
      <c r="Q5" s="15"/>
      <c r="R5" s="15"/>
      <c r="S5" s="15"/>
      <c r="T5" s="16">
        <v>1285257.5999999999</v>
      </c>
      <c r="U5" s="15"/>
      <c r="V5" s="15"/>
      <c r="W5" s="15"/>
      <c r="X5" s="15"/>
      <c r="Y5" s="15"/>
      <c r="Z5" s="15"/>
    </row>
    <row r="6" spans="1:26" ht="15" customHeight="1" x14ac:dyDescent="0.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" customHeight="1" x14ac:dyDescent="0.4">
      <c r="A7" s="15"/>
      <c r="B7" s="15" t="s">
        <v>62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 x14ac:dyDescent="0.4">
      <c r="A8" s="15"/>
      <c r="B8" s="15"/>
      <c r="C8" s="15" t="s">
        <v>63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64</v>
      </c>
      <c r="Q8" s="15">
        <v>2</v>
      </c>
      <c r="R8" s="15"/>
      <c r="S8" s="15"/>
      <c r="T8" s="15"/>
      <c r="U8" s="15"/>
      <c r="V8" s="15"/>
      <c r="W8" s="15"/>
      <c r="X8" s="15"/>
      <c r="Y8" s="15"/>
      <c r="Z8" s="15"/>
    </row>
    <row r="9" spans="1:26" ht="15" customHeight="1" x14ac:dyDescent="0.4">
      <c r="A9" s="15"/>
      <c r="B9" s="15"/>
      <c r="C9" s="15" t="s">
        <v>65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 t="s">
        <v>64</v>
      </c>
      <c r="Q9" s="15">
        <v>2E-3</v>
      </c>
      <c r="R9" s="15"/>
      <c r="S9" s="15"/>
      <c r="T9" s="15"/>
      <c r="U9" s="15"/>
      <c r="V9" s="15"/>
      <c r="W9" s="15"/>
      <c r="X9" s="15"/>
      <c r="Y9" s="15"/>
      <c r="Z9" s="15"/>
    </row>
    <row r="10" spans="1:26" ht="15" customHeight="1" x14ac:dyDescent="0.4">
      <c r="A10" s="15"/>
      <c r="B10" s="15"/>
      <c r="C10" s="15" t="s">
        <v>66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 t="s">
        <v>64</v>
      </c>
      <c r="Q10" s="15">
        <v>3.3E-3</v>
      </c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customHeight="1" x14ac:dyDescent="0.4">
      <c r="A11" s="15"/>
      <c r="B11" s="15"/>
      <c r="C11" s="15" t="s">
        <v>67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 t="s">
        <v>64</v>
      </c>
      <c r="Q11" s="15">
        <v>0.85</v>
      </c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customHeight="1" x14ac:dyDescent="0.4">
      <c r="A12" s="15"/>
      <c r="B12" s="15"/>
      <c r="C12" s="15" t="s">
        <v>68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 t="s">
        <v>64</v>
      </c>
      <c r="Q12" s="15">
        <v>19.337499999999999</v>
      </c>
      <c r="R12" s="15"/>
      <c r="S12" s="15" t="s">
        <v>69</v>
      </c>
      <c r="T12" s="15"/>
      <c r="U12" s="15"/>
      <c r="V12" s="15"/>
      <c r="W12" s="15"/>
      <c r="X12" s="15"/>
      <c r="Y12" s="15"/>
      <c r="Z12" s="15"/>
    </row>
    <row r="13" spans="1:26" ht="15" customHeight="1" x14ac:dyDescent="0.4">
      <c r="A13" s="15"/>
      <c r="B13" s="15"/>
      <c r="C13" s="15" t="s">
        <v>70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 t="s">
        <v>64</v>
      </c>
      <c r="Q13" s="15">
        <v>39</v>
      </c>
      <c r="R13" s="15"/>
      <c r="S13" s="15" t="s">
        <v>69</v>
      </c>
      <c r="T13" s="15"/>
      <c r="U13" s="15"/>
      <c r="V13" s="15"/>
      <c r="W13" s="15"/>
      <c r="X13" s="15"/>
      <c r="Y13" s="15"/>
      <c r="Z13" s="15"/>
    </row>
    <row r="14" spans="1:26" ht="15" customHeight="1" x14ac:dyDescent="0.4">
      <c r="A14" s="15"/>
      <c r="B14" s="15"/>
      <c r="C14" s="15" t="s">
        <v>71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 t="s">
        <v>64</v>
      </c>
      <c r="Q14" s="15">
        <v>32640.410139011354</v>
      </c>
      <c r="R14" s="15"/>
      <c r="S14" s="15" t="s">
        <v>69</v>
      </c>
      <c r="T14" s="15"/>
      <c r="U14" s="15"/>
      <c r="V14" s="15"/>
      <c r="W14" s="15"/>
      <c r="X14" s="15"/>
      <c r="Y14" s="15"/>
      <c r="Z14" s="15"/>
    </row>
    <row r="15" spans="1:26" ht="15" customHeight="1" x14ac:dyDescent="0.4">
      <c r="A15" s="15"/>
      <c r="B15" s="15"/>
      <c r="C15" s="15" t="s">
        <v>72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 t="s">
        <v>64</v>
      </c>
      <c r="Q15" s="15">
        <v>0.8</v>
      </c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4">
      <c r="A16" s="15"/>
      <c r="B16" s="15"/>
      <c r="C16" s="15" t="s">
        <v>73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 t="s">
        <v>64</v>
      </c>
      <c r="Q16" s="15">
        <v>0.4</v>
      </c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4">
      <c r="A17" s="15"/>
      <c r="B17" s="15"/>
      <c r="C17" s="15" t="s">
        <v>74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 t="s">
        <v>64</v>
      </c>
      <c r="Q17" s="15">
        <v>1</v>
      </c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" customHeight="1" x14ac:dyDescent="0.4">
      <c r="A18" s="15"/>
      <c r="B18" s="15"/>
      <c r="C18" s="15" t="s">
        <v>75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 t="s">
        <v>64</v>
      </c>
      <c r="Q18" s="15">
        <v>0.8</v>
      </c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 x14ac:dyDescent="0.4">
      <c r="A20" s="15"/>
      <c r="B20" s="15" t="s">
        <v>76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4">
      <c r="A21" s="15"/>
      <c r="B21" s="15"/>
      <c r="C21" s="15" t="s">
        <v>77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 t="s">
        <v>64</v>
      </c>
      <c r="Q21" s="15">
        <v>450</v>
      </c>
      <c r="R21" s="15"/>
      <c r="S21" s="15" t="s">
        <v>69</v>
      </c>
      <c r="T21" s="15"/>
      <c r="U21" s="15"/>
      <c r="V21" s="15"/>
      <c r="W21" s="15"/>
      <c r="X21" s="15"/>
      <c r="Y21" s="15"/>
      <c r="Z21" s="15"/>
    </row>
    <row r="22" spans="1:26" ht="15" customHeight="1" x14ac:dyDescent="0.4">
      <c r="A22" s="15"/>
      <c r="B22" s="15"/>
      <c r="C22" s="15" t="s">
        <v>78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 t="s">
        <v>64</v>
      </c>
      <c r="Q22" s="15">
        <v>2.2499999999999998E-3</v>
      </c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4">
      <c r="A24" s="15"/>
      <c r="B24" s="15" t="s">
        <v>79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4">
      <c r="A25" s="15"/>
      <c r="B25" s="15"/>
      <c r="C25" s="15" t="s">
        <v>80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4">
      <c r="A26" s="15"/>
      <c r="B26" s="15"/>
      <c r="C26" s="15" t="s">
        <v>81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4">
      <c r="A27" s="15"/>
      <c r="B27" s="15"/>
      <c r="C27" s="15" t="s">
        <v>82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4">
      <c r="A28" s="15"/>
      <c r="B28" s="15"/>
      <c r="C28" s="15"/>
      <c r="D28" s="15"/>
      <c r="E28" s="15"/>
      <c r="F28" s="15" t="s">
        <v>83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4">
      <c r="A29" s="15"/>
      <c r="B29" s="15"/>
      <c r="C29" s="15" t="s">
        <v>147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4">
      <c r="A30" s="15"/>
      <c r="B30" s="15"/>
      <c r="C30" s="15"/>
      <c r="D30" s="15" t="s">
        <v>85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" customHeight="1" x14ac:dyDescent="0.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" customHeight="1" x14ac:dyDescent="0.4">
      <c r="A32" s="15"/>
      <c r="B32" s="15" t="s">
        <v>148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" customHeight="1" x14ac:dyDescent="0.4">
      <c r="A33" s="15"/>
      <c r="B33" s="15"/>
      <c r="C33" s="15"/>
      <c r="D33" s="15"/>
      <c r="E33" s="15"/>
      <c r="F33" s="15" t="s">
        <v>87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4">
      <c r="A34" s="15"/>
      <c r="B34" s="15"/>
      <c r="C34" s="15"/>
      <c r="D34" s="15"/>
      <c r="E34" s="15"/>
      <c r="F34" s="15" t="s">
        <v>88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customHeight="1" x14ac:dyDescent="0.4">
      <c r="A35" s="15"/>
      <c r="B35" s="15"/>
      <c r="C35" s="15"/>
      <c r="D35" s="15"/>
      <c r="E35" s="15"/>
      <c r="F35" s="15" t="s">
        <v>89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" customHeight="1" x14ac:dyDescent="0.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4">
      <c r="A37" s="15"/>
      <c r="B37" s="15" t="s">
        <v>90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" customHeight="1" x14ac:dyDescent="0.4">
      <c r="A38" s="15"/>
      <c r="B38" s="15"/>
      <c r="C38" s="15" t="s">
        <v>91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4">
      <c r="A39" s="15"/>
      <c r="B39" s="15"/>
      <c r="C39" s="15"/>
      <c r="D39" s="15" t="s">
        <v>92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" customHeight="1" x14ac:dyDescent="0.4">
      <c r="A40" s="15"/>
      <c r="B40" s="15"/>
      <c r="C40" s="15"/>
      <c r="D40" s="15" t="s">
        <v>149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customHeight="1" x14ac:dyDescent="0.4">
      <c r="A41" s="15"/>
      <c r="B41" s="15"/>
      <c r="C41" s="15" t="s">
        <v>150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customHeight="1" x14ac:dyDescent="0.4">
      <c r="A42" s="15"/>
      <c r="B42" s="15"/>
      <c r="C42" s="15" t="s">
        <v>95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" customHeight="1" x14ac:dyDescent="0.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" customHeight="1" x14ac:dyDescent="0.4">
      <c r="A44" s="15"/>
      <c r="B44" s="15" t="s">
        <v>96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" customHeight="1" x14ac:dyDescent="0.4">
      <c r="A45" s="15"/>
      <c r="B45" s="15"/>
      <c r="C45" s="15" t="s">
        <v>97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" customHeight="1" x14ac:dyDescent="0.4">
      <c r="A46" s="15"/>
      <c r="B46" s="15"/>
      <c r="C46" s="15"/>
      <c r="D46" s="15" t="s">
        <v>98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" customHeight="1" x14ac:dyDescent="0.4">
      <c r="A47" s="15"/>
      <c r="B47" s="15"/>
      <c r="C47" s="15" t="s">
        <v>99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" customHeight="1" x14ac:dyDescent="0.4">
      <c r="A48" s="15"/>
      <c r="B48" s="15"/>
      <c r="C48" s="15" t="s">
        <v>100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" customHeight="1" x14ac:dyDescent="0.4">
      <c r="A49" s="15"/>
      <c r="B49" s="15"/>
      <c r="C49" s="15" t="s">
        <v>101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" customHeight="1" x14ac:dyDescent="0.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" customHeight="1" x14ac:dyDescent="0.4">
      <c r="A51" s="15"/>
      <c r="B51" s="15" t="s">
        <v>102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" customHeight="1" x14ac:dyDescent="0.4">
      <c r="A52" s="15"/>
      <c r="B52" s="15"/>
      <c r="C52" s="15" t="s">
        <v>103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customHeight="1" x14ac:dyDescent="0.4">
      <c r="A53" s="15"/>
      <c r="B53" s="15"/>
      <c r="C53" s="15" t="s">
        <v>104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 x14ac:dyDescent="0.4">
      <c r="A54" s="15"/>
      <c r="B54" s="15"/>
      <c r="C54" s="15" t="s">
        <v>105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customHeight="1" x14ac:dyDescent="0.4">
      <c r="A55" s="15"/>
      <c r="B55" s="15"/>
      <c r="C55" s="15"/>
      <c r="D55" s="15" t="s">
        <v>106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" customHeight="1" x14ac:dyDescent="0.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 x14ac:dyDescent="0.4">
      <c r="A57" s="15"/>
      <c r="B57" s="15" t="s">
        <v>107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" customHeight="1" x14ac:dyDescent="0.4">
      <c r="A58" s="15"/>
      <c r="B58" s="15"/>
      <c r="C58" s="15" t="s">
        <v>108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customHeight="1" x14ac:dyDescent="0.4">
      <c r="A59" s="15"/>
      <c r="B59" s="15"/>
      <c r="C59" s="15" t="s">
        <v>109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customHeight="1" x14ac:dyDescent="0.4">
      <c r="A60" s="15"/>
      <c r="B60" s="15"/>
      <c r="C60" s="15" t="s">
        <v>151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customHeight="1" x14ac:dyDescent="0.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customHeight="1" x14ac:dyDescent="0.4">
      <c r="A62" s="15"/>
      <c r="B62" s="15" t="s">
        <v>111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 x14ac:dyDescent="0.4">
      <c r="A63" s="15"/>
      <c r="B63" s="15"/>
      <c r="C63" s="15" t="s">
        <v>112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" customHeight="1" x14ac:dyDescent="0.4">
      <c r="A64" s="15"/>
      <c r="B64" s="15"/>
      <c r="C64" s="15" t="s">
        <v>113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" customHeight="1" x14ac:dyDescent="0.4">
      <c r="A65" s="15"/>
      <c r="B65" s="15"/>
      <c r="C65" s="15" t="s">
        <v>114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" customHeight="1" x14ac:dyDescent="0.4">
      <c r="A66" s="15"/>
      <c r="B66" s="15"/>
      <c r="C66" s="15"/>
      <c r="D66" s="15" t="s">
        <v>115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" customHeight="1" x14ac:dyDescent="0.4">
      <c r="A67" s="15"/>
      <c r="B67" s="15"/>
      <c r="C67" s="15"/>
      <c r="D67" s="15" t="s">
        <v>116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" customHeight="1" x14ac:dyDescent="0.4">
      <c r="A68" s="15"/>
      <c r="B68" s="15"/>
      <c r="C68" s="15"/>
      <c r="D68" s="15" t="s">
        <v>117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" customHeight="1" x14ac:dyDescent="0.4">
      <c r="A69" s="15"/>
      <c r="B69" s="15"/>
      <c r="C69" s="15" t="s">
        <v>118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" customHeight="1" x14ac:dyDescent="0.4">
      <c r="A70" s="15"/>
      <c r="B70" s="15"/>
      <c r="C70" s="15" t="s">
        <v>119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" customHeight="1" x14ac:dyDescent="0.4">
      <c r="A71" s="15"/>
      <c r="B71" s="15"/>
      <c r="C71" s="15" t="s">
        <v>120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" customHeight="1" x14ac:dyDescent="0.4">
      <c r="A72" s="15"/>
      <c r="B72" s="15"/>
      <c r="C72" s="15" t="s">
        <v>152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" customHeight="1" x14ac:dyDescent="0.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" customHeight="1" x14ac:dyDescent="0.4">
      <c r="A74" s="15"/>
      <c r="B74" s="15"/>
      <c r="C74" s="15" t="s">
        <v>122</v>
      </c>
      <c r="D74" s="15"/>
      <c r="E74" s="15"/>
      <c r="F74" s="15"/>
      <c r="G74" s="15"/>
      <c r="H74" s="15"/>
      <c r="I74" s="15"/>
      <c r="J74" s="15"/>
      <c r="K74" s="15"/>
      <c r="L74" s="15" t="s">
        <v>123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" customHeight="1" x14ac:dyDescent="0.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" customHeight="1" x14ac:dyDescent="0.4">
      <c r="A76" s="15"/>
      <c r="B76" s="15"/>
      <c r="C76" s="15" t="s">
        <v>124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" customHeight="1" x14ac:dyDescent="0.4">
      <c r="A77" s="15"/>
      <c r="B77" s="15"/>
      <c r="C77" s="15" t="s">
        <v>125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" customHeight="1" x14ac:dyDescent="0.4">
      <c r="A78" s="15"/>
      <c r="B78" s="15"/>
      <c r="C78" s="15" t="s">
        <v>126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" customHeight="1" x14ac:dyDescent="0.4">
      <c r="A79" s="15"/>
      <c r="B79" s="15"/>
      <c r="C79" s="15" t="s">
        <v>153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" customHeight="1" x14ac:dyDescent="0.4">
      <c r="A80" s="15"/>
      <c r="B80" s="15"/>
      <c r="C80" s="15" t="s">
        <v>128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" customHeight="1" x14ac:dyDescent="0.4">
      <c r="A81" s="15"/>
      <c r="B81" s="15"/>
      <c r="C81" s="15" t="s">
        <v>129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" customHeight="1" x14ac:dyDescent="0.4">
      <c r="A82" s="15"/>
      <c r="B82" s="15"/>
      <c r="C82" s="15" t="s">
        <v>130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" customHeight="1" x14ac:dyDescent="0.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" customHeight="1" x14ac:dyDescent="0.4">
      <c r="A84" s="15"/>
      <c r="B84" s="15" t="s">
        <v>131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" customHeight="1" x14ac:dyDescent="0.4">
      <c r="A85" s="15"/>
      <c r="B85" s="15"/>
      <c r="C85" s="15" t="s">
        <v>132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" customHeight="1" x14ac:dyDescent="0.4">
      <c r="A86" s="15"/>
      <c r="B86" s="15"/>
      <c r="C86" s="15" t="s">
        <v>133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" customHeight="1" x14ac:dyDescent="0.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" customHeight="1" x14ac:dyDescent="0.4">
      <c r="A88" s="15"/>
      <c r="B88" s="15" t="s">
        <v>134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" customHeight="1" x14ac:dyDescent="0.4">
      <c r="A89" s="15"/>
      <c r="B89" s="15"/>
      <c r="C89" s="15" t="s">
        <v>135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" customHeight="1" x14ac:dyDescent="0.4">
      <c r="A90" s="15"/>
      <c r="B90" s="15"/>
      <c r="C90" s="15" t="s">
        <v>136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" customHeight="1" x14ac:dyDescent="0.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" customHeight="1" x14ac:dyDescent="0.4">
      <c r="A92" s="15"/>
      <c r="B92" s="15" t="s">
        <v>137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" customHeight="1" x14ac:dyDescent="0.4">
      <c r="A93" s="15"/>
      <c r="B93" s="15"/>
      <c r="C93" s="15" t="s">
        <v>154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" customHeight="1" x14ac:dyDescent="0.4">
      <c r="A94" s="15"/>
      <c r="B94" s="15"/>
      <c r="C94" s="15" t="s">
        <v>155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" customHeight="1" x14ac:dyDescent="0.4">
      <c r="A95" s="15"/>
      <c r="B95" s="15"/>
      <c r="C95" s="15" t="s">
        <v>156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" customHeight="1" x14ac:dyDescent="0.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" customHeight="1" x14ac:dyDescent="0.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" customHeight="1" x14ac:dyDescent="0.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" customHeight="1" x14ac:dyDescent="0.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" customHeight="1" x14ac:dyDescent="0.4">
      <c r="A100" s="15"/>
      <c r="B100" s="15" t="s">
        <v>141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" customHeight="1" x14ac:dyDescent="0.4">
      <c r="B101" t="s">
        <v>142</v>
      </c>
    </row>
    <row r="102" spans="1:26" ht="15" customHeight="1" x14ac:dyDescent="0.4">
      <c r="B102" t="s">
        <v>143</v>
      </c>
    </row>
    <row r="103" spans="1:26" ht="15" customHeight="1" x14ac:dyDescent="0.4">
      <c r="C103" t="s">
        <v>144</v>
      </c>
    </row>
    <row r="104" spans="1:26" ht="15" customHeight="1" x14ac:dyDescent="0.4">
      <c r="C104" t="s">
        <v>145</v>
      </c>
    </row>
    <row r="105" spans="1:26" ht="15" customHeight="1" x14ac:dyDescent="0.4">
      <c r="C105" t="s">
        <v>146</v>
      </c>
    </row>
    <row r="106" spans="1:26" ht="15" customHeight="1" x14ac:dyDescent="0.4"/>
    <row r="107" spans="1:26" ht="15" customHeight="1" x14ac:dyDescent="0.4"/>
    <row r="108" spans="1:26" ht="15" customHeight="1" x14ac:dyDescent="0.4"/>
    <row r="109" spans="1:26" ht="15" customHeight="1" x14ac:dyDescent="0.4"/>
    <row r="110" spans="1:26" ht="15" customHeight="1" x14ac:dyDescent="0.4"/>
    <row r="111" spans="1:26" ht="15" customHeight="1" x14ac:dyDescent="0.4"/>
    <row r="112" spans="1:26" ht="15" customHeight="1" x14ac:dyDescent="0.4"/>
    <row r="113" ht="15" customHeight="1" x14ac:dyDescent="0.4"/>
    <row r="114" ht="15" customHeight="1" x14ac:dyDescent="0.4"/>
    <row r="115" ht="15" customHeight="1" x14ac:dyDescent="0.4"/>
    <row r="116" ht="15" customHeight="1" x14ac:dyDescent="0.4"/>
    <row r="117" ht="15" customHeight="1" x14ac:dyDescent="0.4"/>
    <row r="118" ht="15" customHeight="1" x14ac:dyDescent="0.4"/>
    <row r="119" ht="15" customHeight="1" x14ac:dyDescent="0.4"/>
    <row r="120" ht="15" customHeight="1" x14ac:dyDescent="0.4"/>
    <row r="121" ht="15" customHeight="1" x14ac:dyDescent="0.4"/>
    <row r="122" ht="15" customHeight="1" x14ac:dyDescent="0.4"/>
    <row r="123" ht="15" customHeight="1" x14ac:dyDescent="0.4"/>
    <row r="124" ht="15" customHeight="1" x14ac:dyDescent="0.4"/>
    <row r="125" ht="15" customHeight="1" x14ac:dyDescent="0.4"/>
    <row r="126" ht="15" customHeight="1" x14ac:dyDescent="0.4"/>
    <row r="127" ht="15" customHeight="1" x14ac:dyDescent="0.4"/>
    <row r="128" ht="15" customHeight="1" x14ac:dyDescent="0.4"/>
    <row r="129" ht="15" customHeight="1" x14ac:dyDescent="0.4"/>
    <row r="130" ht="15" customHeight="1" x14ac:dyDescent="0.4"/>
    <row r="131" ht="15" customHeight="1" x14ac:dyDescent="0.4"/>
    <row r="132" ht="15" customHeight="1" x14ac:dyDescent="0.4"/>
    <row r="133" ht="15" customHeight="1" x14ac:dyDescent="0.4"/>
    <row r="134" ht="15" customHeight="1" x14ac:dyDescent="0.4"/>
    <row r="135" ht="15" customHeight="1" x14ac:dyDescent="0.4"/>
    <row r="136" ht="15" customHeight="1" x14ac:dyDescent="0.4"/>
    <row r="137" ht="15" customHeight="1" x14ac:dyDescent="0.4"/>
    <row r="138" ht="15" customHeight="1" x14ac:dyDescent="0.4"/>
    <row r="139" ht="15" customHeight="1" x14ac:dyDescent="0.4"/>
    <row r="140" ht="15" customHeight="1" x14ac:dyDescent="0.4"/>
    <row r="141" ht="15" customHeight="1" x14ac:dyDescent="0.4"/>
    <row r="142" ht="15" customHeight="1" x14ac:dyDescent="0.4"/>
    <row r="143" ht="15" customHeight="1" x14ac:dyDescent="0.4"/>
    <row r="144" ht="15" customHeight="1" x14ac:dyDescent="0.4"/>
    <row r="145" ht="15" customHeight="1" x14ac:dyDescent="0.4"/>
    <row r="146" ht="15" customHeight="1" x14ac:dyDescent="0.4"/>
    <row r="147" ht="15" customHeight="1" x14ac:dyDescent="0.4"/>
    <row r="148" ht="15" customHeight="1" x14ac:dyDescent="0.4"/>
    <row r="149" ht="15" customHeight="1" x14ac:dyDescent="0.4"/>
    <row r="150" ht="15" customHeight="1" x14ac:dyDescent="0.4"/>
    <row r="151" ht="15" customHeight="1" x14ac:dyDescent="0.4"/>
    <row r="152" ht="15" customHeight="1" x14ac:dyDescent="0.4"/>
    <row r="153" ht="15" customHeight="1" x14ac:dyDescent="0.4"/>
    <row r="154" ht="15" customHeight="1" x14ac:dyDescent="0.4"/>
    <row r="155" ht="15" customHeight="1" x14ac:dyDescent="0.4"/>
    <row r="156" ht="15" customHeight="1" x14ac:dyDescent="0.4"/>
    <row r="157" ht="15" customHeight="1" x14ac:dyDescent="0.4"/>
    <row r="158" ht="15" customHeight="1" x14ac:dyDescent="0.4"/>
    <row r="159" ht="15" customHeight="1" x14ac:dyDescent="0.4"/>
    <row r="160" ht="15" customHeight="1" x14ac:dyDescent="0.4"/>
    <row r="161" ht="15" customHeight="1" x14ac:dyDescent="0.4"/>
    <row r="162" ht="15" customHeight="1" x14ac:dyDescent="0.4"/>
    <row r="163" ht="15" customHeight="1" x14ac:dyDescent="0.4"/>
    <row r="164" ht="15" customHeight="1" x14ac:dyDescent="0.4"/>
    <row r="165" ht="15" customHeight="1" x14ac:dyDescent="0.4"/>
    <row r="166" ht="15" customHeight="1" x14ac:dyDescent="0.4"/>
    <row r="167" ht="15" customHeight="1" x14ac:dyDescent="0.4"/>
    <row r="168" ht="15" customHeight="1" x14ac:dyDescent="0.4"/>
    <row r="169" ht="15" customHeight="1" x14ac:dyDescent="0.4"/>
    <row r="170" ht="15" customHeight="1" x14ac:dyDescent="0.4"/>
    <row r="171" ht="15" customHeight="1" x14ac:dyDescent="0.4"/>
    <row r="172" ht="15" customHeight="1" x14ac:dyDescent="0.4"/>
    <row r="173" ht="15" customHeight="1" x14ac:dyDescent="0.4"/>
    <row r="174" ht="15" customHeight="1" x14ac:dyDescent="0.4"/>
    <row r="175" ht="15" customHeight="1" x14ac:dyDescent="0.4"/>
    <row r="176" ht="15" customHeight="1" x14ac:dyDescent="0.4"/>
    <row r="177" ht="15" customHeight="1" x14ac:dyDescent="0.4"/>
    <row r="178" ht="15" customHeight="1" x14ac:dyDescent="0.4"/>
    <row r="179" ht="15" customHeight="1" x14ac:dyDescent="0.4"/>
    <row r="180" ht="15" customHeight="1" x14ac:dyDescent="0.4"/>
    <row r="181" ht="15" customHeight="1" x14ac:dyDescent="0.4"/>
    <row r="182" ht="15" customHeight="1" x14ac:dyDescent="0.4"/>
    <row r="183" ht="15" customHeight="1" x14ac:dyDescent="0.4"/>
    <row r="184" ht="15" customHeight="1" x14ac:dyDescent="0.4"/>
    <row r="185" ht="15" customHeight="1" x14ac:dyDescent="0.4"/>
    <row r="186" ht="15" customHeight="1" x14ac:dyDescent="0.4"/>
    <row r="187" ht="15" customHeight="1" x14ac:dyDescent="0.4"/>
    <row r="188" ht="15" customHeight="1" x14ac:dyDescent="0.4"/>
    <row r="189" ht="15" customHeight="1" x14ac:dyDescent="0.4"/>
    <row r="190" ht="15" customHeight="1" x14ac:dyDescent="0.4"/>
    <row r="191" ht="15" customHeight="1" x14ac:dyDescent="0.4"/>
    <row r="192" ht="15" customHeight="1" x14ac:dyDescent="0.4"/>
    <row r="193" ht="15" customHeight="1" x14ac:dyDescent="0.4"/>
    <row r="194" ht="15" customHeight="1" x14ac:dyDescent="0.4"/>
    <row r="195" ht="15" customHeight="1" x14ac:dyDescent="0.4"/>
    <row r="196" ht="15" customHeight="1" x14ac:dyDescent="0.4"/>
    <row r="197" ht="15" customHeight="1" x14ac:dyDescent="0.4"/>
    <row r="198" ht="15" customHeight="1" x14ac:dyDescent="0.4"/>
    <row r="199" ht="15" customHeight="1" x14ac:dyDescent="0.4"/>
    <row r="200" ht="15" customHeight="1" x14ac:dyDescent="0.4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6BB0-70BD-4132-852F-24C707A60C90}">
  <dimension ref="A1:Z200"/>
  <sheetViews>
    <sheetView topLeftCell="A56" workbookViewId="0">
      <selection activeCell="P18" sqref="P18"/>
    </sheetView>
  </sheetViews>
  <sheetFormatPr defaultRowHeight="17.399999999999999" x14ac:dyDescent="0.4"/>
  <cols>
    <col min="1" max="26" width="3.69921875" customWidth="1"/>
  </cols>
  <sheetData>
    <row r="1" spans="1:26" ht="15" customHeight="1" x14ac:dyDescent="0.4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" customHeight="1" x14ac:dyDescent="0.4">
      <c r="A2" s="15"/>
      <c r="B2" s="15" t="s">
        <v>54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" customHeight="1" x14ac:dyDescent="0.4">
      <c r="A3" s="15"/>
      <c r="B3" s="15"/>
      <c r="C3" s="15" t="s">
        <v>55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" customHeight="1" x14ac:dyDescent="0.4">
      <c r="A4" s="15"/>
      <c r="B4" s="15"/>
      <c r="C4" s="15" t="s">
        <v>56</v>
      </c>
      <c r="D4" s="15"/>
      <c r="E4" s="15"/>
      <c r="F4" s="15" t="s">
        <v>57</v>
      </c>
      <c r="G4" s="15"/>
      <c r="H4" s="15"/>
      <c r="I4" s="15" t="s">
        <v>58</v>
      </c>
      <c r="J4" s="15"/>
      <c r="K4" s="15"/>
      <c r="L4" s="15" t="s">
        <v>59</v>
      </c>
      <c r="M4" s="15"/>
      <c r="N4" s="15"/>
      <c r="O4" s="15" t="s">
        <v>60</v>
      </c>
      <c r="P4" s="15"/>
      <c r="Q4" s="15"/>
      <c r="R4" s="15"/>
      <c r="S4" s="15"/>
      <c r="T4" s="15" t="s">
        <v>61</v>
      </c>
      <c r="U4" s="15"/>
      <c r="V4" s="15"/>
      <c r="W4" s="15"/>
      <c r="X4" s="15"/>
      <c r="Y4" s="15"/>
      <c r="Z4" s="15"/>
    </row>
    <row r="5" spans="1:26" ht="15" customHeight="1" x14ac:dyDescent="0.4">
      <c r="A5" s="15"/>
      <c r="B5" s="15"/>
      <c r="C5" s="15">
        <v>1000</v>
      </c>
      <c r="D5" s="15"/>
      <c r="E5" s="15"/>
      <c r="F5" s="15">
        <v>800</v>
      </c>
      <c r="G5" s="15"/>
      <c r="H5" s="15"/>
      <c r="I5" s="15">
        <v>666.66700000000003</v>
      </c>
      <c r="J5" s="15"/>
      <c r="K5" s="15"/>
      <c r="L5" s="15">
        <v>133.333</v>
      </c>
      <c r="M5" s="15"/>
      <c r="N5" s="15"/>
      <c r="O5" s="16">
        <v>179760000</v>
      </c>
      <c r="P5" s="15"/>
      <c r="Q5" s="15"/>
      <c r="R5" s="15"/>
      <c r="S5" s="15"/>
      <c r="T5" s="16">
        <v>1071048</v>
      </c>
      <c r="U5" s="15"/>
      <c r="V5" s="15"/>
      <c r="W5" s="15"/>
      <c r="X5" s="15"/>
      <c r="Y5" s="15"/>
      <c r="Z5" s="15"/>
    </row>
    <row r="6" spans="1:26" ht="15" customHeight="1" x14ac:dyDescent="0.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" customHeight="1" x14ac:dyDescent="0.4">
      <c r="A7" s="15"/>
      <c r="B7" s="15" t="s">
        <v>62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 x14ac:dyDescent="0.4">
      <c r="A8" s="15"/>
      <c r="B8" s="15"/>
      <c r="C8" s="15" t="s">
        <v>63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 t="s">
        <v>64</v>
      </c>
      <c r="Q8" s="15">
        <v>2</v>
      </c>
      <c r="R8" s="15"/>
      <c r="S8" s="15"/>
      <c r="T8" s="15"/>
      <c r="U8" s="15"/>
      <c r="V8" s="15"/>
      <c r="W8" s="15"/>
      <c r="X8" s="15"/>
      <c r="Y8" s="15"/>
      <c r="Z8" s="15"/>
    </row>
    <row r="9" spans="1:26" ht="15" customHeight="1" x14ac:dyDescent="0.4">
      <c r="A9" s="15"/>
      <c r="B9" s="15"/>
      <c r="C9" s="15" t="s">
        <v>65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 t="s">
        <v>64</v>
      </c>
      <c r="Q9" s="15">
        <v>2E-3</v>
      </c>
      <c r="R9" s="15"/>
      <c r="S9" s="15"/>
      <c r="T9" s="15"/>
      <c r="U9" s="15"/>
      <c r="V9" s="15"/>
      <c r="W9" s="15"/>
      <c r="X9" s="15"/>
      <c r="Y9" s="15"/>
      <c r="Z9" s="15"/>
    </row>
    <row r="10" spans="1:26" ht="15" customHeight="1" x14ac:dyDescent="0.4">
      <c r="A10" s="15"/>
      <c r="B10" s="15"/>
      <c r="C10" s="15" t="s">
        <v>66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 t="s">
        <v>64</v>
      </c>
      <c r="Q10" s="15">
        <v>3.3E-3</v>
      </c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" customHeight="1" x14ac:dyDescent="0.4">
      <c r="A11" s="15"/>
      <c r="B11" s="15"/>
      <c r="C11" s="15" t="s">
        <v>67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 t="s">
        <v>64</v>
      </c>
      <c r="Q11" s="15">
        <v>0.85</v>
      </c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" customHeight="1" x14ac:dyDescent="0.4">
      <c r="A12" s="15"/>
      <c r="B12" s="15"/>
      <c r="C12" s="15" t="s">
        <v>68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 t="s">
        <v>64</v>
      </c>
      <c r="Q12" s="15">
        <v>19.337499999999999</v>
      </c>
      <c r="R12" s="15"/>
      <c r="S12" s="15" t="s">
        <v>69</v>
      </c>
      <c r="T12" s="15"/>
      <c r="U12" s="15"/>
      <c r="V12" s="15"/>
      <c r="W12" s="15"/>
      <c r="X12" s="15"/>
      <c r="Y12" s="15"/>
      <c r="Z12" s="15"/>
    </row>
    <row r="13" spans="1:26" ht="15" customHeight="1" x14ac:dyDescent="0.4">
      <c r="A13" s="15"/>
      <c r="B13" s="15"/>
      <c r="C13" s="15" t="s">
        <v>70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 t="s">
        <v>64</v>
      </c>
      <c r="Q13" s="15">
        <v>39</v>
      </c>
      <c r="R13" s="15"/>
      <c r="S13" s="15" t="s">
        <v>69</v>
      </c>
      <c r="T13" s="15"/>
      <c r="U13" s="15"/>
      <c r="V13" s="15"/>
      <c r="W13" s="15"/>
      <c r="X13" s="15"/>
      <c r="Y13" s="15"/>
      <c r="Z13" s="15"/>
    </row>
    <row r="14" spans="1:26" ht="15" customHeight="1" x14ac:dyDescent="0.4">
      <c r="A14" s="15"/>
      <c r="B14" s="15"/>
      <c r="C14" s="15" t="s">
        <v>71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 t="s">
        <v>64</v>
      </c>
      <c r="Q14" s="15">
        <v>32640.410139011354</v>
      </c>
      <c r="R14" s="15"/>
      <c r="S14" s="15" t="s">
        <v>69</v>
      </c>
      <c r="T14" s="15"/>
      <c r="U14" s="15"/>
      <c r="V14" s="15"/>
      <c r="W14" s="15"/>
      <c r="X14" s="15"/>
      <c r="Y14" s="15"/>
      <c r="Z14" s="15"/>
    </row>
    <row r="15" spans="1:26" ht="15" customHeight="1" x14ac:dyDescent="0.4">
      <c r="A15" s="15"/>
      <c r="B15" s="15"/>
      <c r="C15" s="15" t="s">
        <v>72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 t="s">
        <v>64</v>
      </c>
      <c r="Q15" s="15">
        <v>0.8</v>
      </c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4">
      <c r="A16" s="15"/>
      <c r="B16" s="15"/>
      <c r="C16" s="15" t="s">
        <v>73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 t="s">
        <v>64</v>
      </c>
      <c r="Q16" s="15">
        <v>0.4</v>
      </c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4">
      <c r="A17" s="15"/>
      <c r="B17" s="15"/>
      <c r="C17" s="15" t="s">
        <v>74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 t="s">
        <v>64</v>
      </c>
      <c r="Q17" s="15">
        <v>1</v>
      </c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" customHeight="1" x14ac:dyDescent="0.4">
      <c r="A18" s="15"/>
      <c r="B18" s="15"/>
      <c r="C18" s="15" t="s">
        <v>75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 t="s">
        <v>64</v>
      </c>
      <c r="Q18" s="15">
        <v>0.8</v>
      </c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 x14ac:dyDescent="0.4">
      <c r="A20" s="15"/>
      <c r="B20" s="15" t="s">
        <v>76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4">
      <c r="A21" s="15"/>
      <c r="B21" s="15"/>
      <c r="C21" s="15" t="s">
        <v>77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 t="s">
        <v>64</v>
      </c>
      <c r="Q21" s="15">
        <v>450</v>
      </c>
      <c r="R21" s="15"/>
      <c r="S21" s="15" t="s">
        <v>69</v>
      </c>
      <c r="T21" s="15"/>
      <c r="U21" s="15"/>
      <c r="V21" s="15"/>
      <c r="W21" s="15"/>
      <c r="X21" s="15"/>
      <c r="Y21" s="15"/>
      <c r="Z21" s="15"/>
    </row>
    <row r="22" spans="1:26" ht="15" customHeight="1" x14ac:dyDescent="0.4">
      <c r="A22" s="15"/>
      <c r="B22" s="15"/>
      <c r="C22" s="15" t="s">
        <v>78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 t="s">
        <v>64</v>
      </c>
      <c r="Q22" s="15">
        <v>2.2499999999999998E-3</v>
      </c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4">
      <c r="A24" s="15"/>
      <c r="B24" s="15" t="s">
        <v>79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4">
      <c r="A25" s="15"/>
      <c r="B25" s="15"/>
      <c r="C25" s="15" t="s">
        <v>80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4">
      <c r="A26" s="15"/>
      <c r="B26" s="15"/>
      <c r="C26" s="15" t="s">
        <v>81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4">
      <c r="A27" s="15"/>
      <c r="B27" s="15"/>
      <c r="C27" s="15" t="s">
        <v>82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4">
      <c r="A28" s="15"/>
      <c r="B28" s="15"/>
      <c r="C28" s="15"/>
      <c r="D28" s="15"/>
      <c r="E28" s="15"/>
      <c r="F28" s="15" t="s">
        <v>83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4">
      <c r="A29" s="15"/>
      <c r="B29" s="15"/>
      <c r="C29" s="15" t="s">
        <v>84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4">
      <c r="A30" s="15"/>
      <c r="B30" s="15"/>
      <c r="C30" s="15"/>
      <c r="D30" s="15" t="s">
        <v>85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" customHeight="1" x14ac:dyDescent="0.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" customHeight="1" x14ac:dyDescent="0.4">
      <c r="A32" s="15"/>
      <c r="B32" s="15" t="s">
        <v>86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" customHeight="1" x14ac:dyDescent="0.4">
      <c r="A33" s="15"/>
      <c r="B33" s="15"/>
      <c r="C33" s="15"/>
      <c r="D33" s="15"/>
      <c r="E33" s="15"/>
      <c r="F33" s="15" t="s">
        <v>87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" customHeight="1" x14ac:dyDescent="0.4">
      <c r="A34" s="15"/>
      <c r="B34" s="15"/>
      <c r="C34" s="15"/>
      <c r="D34" s="15"/>
      <c r="E34" s="15"/>
      <c r="F34" s="15" t="s">
        <v>88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" customHeight="1" x14ac:dyDescent="0.4">
      <c r="A35" s="15"/>
      <c r="B35" s="15"/>
      <c r="C35" s="15"/>
      <c r="D35" s="15"/>
      <c r="E35" s="15"/>
      <c r="F35" s="15" t="s">
        <v>89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" customHeight="1" x14ac:dyDescent="0.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" customHeight="1" x14ac:dyDescent="0.4">
      <c r="A37" s="15"/>
      <c r="B37" s="15" t="s">
        <v>90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" customHeight="1" x14ac:dyDescent="0.4">
      <c r="A38" s="15"/>
      <c r="B38" s="15"/>
      <c r="C38" s="15" t="s">
        <v>91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" customHeight="1" x14ac:dyDescent="0.4">
      <c r="A39" s="15"/>
      <c r="B39" s="15"/>
      <c r="C39" s="15"/>
      <c r="D39" s="15" t="s">
        <v>92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" customHeight="1" x14ac:dyDescent="0.4">
      <c r="A40" s="15"/>
      <c r="B40" s="15"/>
      <c r="C40" s="15"/>
      <c r="D40" s="15" t="s">
        <v>93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" customHeight="1" x14ac:dyDescent="0.4">
      <c r="A41" s="15"/>
      <c r="B41" s="15"/>
      <c r="C41" s="15" t="s">
        <v>94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" customHeight="1" x14ac:dyDescent="0.4">
      <c r="A42" s="15"/>
      <c r="B42" s="15"/>
      <c r="C42" s="15" t="s">
        <v>95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" customHeight="1" x14ac:dyDescent="0.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" customHeight="1" x14ac:dyDescent="0.4">
      <c r="A44" s="15"/>
      <c r="B44" s="15" t="s">
        <v>96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" customHeight="1" x14ac:dyDescent="0.4">
      <c r="A45" s="15"/>
      <c r="B45" s="15"/>
      <c r="C45" s="15" t="s">
        <v>97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" customHeight="1" x14ac:dyDescent="0.4">
      <c r="A46" s="15"/>
      <c r="B46" s="15"/>
      <c r="C46" s="15"/>
      <c r="D46" s="15" t="s">
        <v>98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" customHeight="1" x14ac:dyDescent="0.4">
      <c r="A47" s="15"/>
      <c r="B47" s="15"/>
      <c r="C47" s="15" t="s">
        <v>99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" customHeight="1" x14ac:dyDescent="0.4">
      <c r="A48" s="15"/>
      <c r="B48" s="15"/>
      <c r="C48" s="15" t="s">
        <v>100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" customHeight="1" x14ac:dyDescent="0.4">
      <c r="A49" s="15"/>
      <c r="B49" s="15"/>
      <c r="C49" s="15" t="s">
        <v>101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" customHeight="1" x14ac:dyDescent="0.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" customHeight="1" x14ac:dyDescent="0.4">
      <c r="A51" s="15"/>
      <c r="B51" s="15" t="s">
        <v>102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" customHeight="1" x14ac:dyDescent="0.4">
      <c r="A52" s="15"/>
      <c r="B52" s="15"/>
      <c r="C52" s="15" t="s">
        <v>103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customHeight="1" x14ac:dyDescent="0.4">
      <c r="A53" s="15"/>
      <c r="B53" s="15"/>
      <c r="C53" s="15" t="s">
        <v>104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 x14ac:dyDescent="0.4">
      <c r="A54" s="15"/>
      <c r="B54" s="15"/>
      <c r="C54" s="15" t="s">
        <v>105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customHeight="1" x14ac:dyDescent="0.4">
      <c r="A55" s="15"/>
      <c r="B55" s="15"/>
      <c r="C55" s="15"/>
      <c r="D55" s="15" t="s">
        <v>106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" customHeight="1" x14ac:dyDescent="0.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 x14ac:dyDescent="0.4">
      <c r="A57" s="15"/>
      <c r="B57" s="15" t="s">
        <v>107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" customHeight="1" x14ac:dyDescent="0.4">
      <c r="A58" s="15"/>
      <c r="B58" s="15"/>
      <c r="C58" s="15" t="s">
        <v>108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customHeight="1" x14ac:dyDescent="0.4">
      <c r="A59" s="15"/>
      <c r="B59" s="15"/>
      <c r="C59" s="15" t="s">
        <v>109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customHeight="1" x14ac:dyDescent="0.4">
      <c r="A60" s="15"/>
      <c r="B60" s="15"/>
      <c r="C60" s="15" t="s">
        <v>110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customHeight="1" x14ac:dyDescent="0.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customHeight="1" x14ac:dyDescent="0.4">
      <c r="A62" s="15"/>
      <c r="B62" s="15" t="s">
        <v>111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 x14ac:dyDescent="0.4">
      <c r="A63" s="15"/>
      <c r="B63" s="15"/>
      <c r="C63" s="15" t="s">
        <v>112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" customHeight="1" x14ac:dyDescent="0.4">
      <c r="A64" s="15"/>
      <c r="B64" s="15"/>
      <c r="C64" s="15" t="s">
        <v>113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" customHeight="1" x14ac:dyDescent="0.4">
      <c r="A65" s="15"/>
      <c r="B65" s="15"/>
      <c r="C65" s="15" t="s">
        <v>114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" customHeight="1" x14ac:dyDescent="0.4">
      <c r="A66" s="15"/>
      <c r="B66" s="15"/>
      <c r="C66" s="15"/>
      <c r="D66" s="15" t="s">
        <v>115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" customHeight="1" x14ac:dyDescent="0.4">
      <c r="A67" s="15"/>
      <c r="B67" s="15"/>
      <c r="C67" s="15"/>
      <c r="D67" s="15" t="s">
        <v>116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" customHeight="1" x14ac:dyDescent="0.4">
      <c r="A68" s="15"/>
      <c r="B68" s="15"/>
      <c r="C68" s="15"/>
      <c r="D68" s="15" t="s">
        <v>117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" customHeight="1" x14ac:dyDescent="0.4">
      <c r="A69" s="15"/>
      <c r="B69" s="15"/>
      <c r="C69" s="15" t="s">
        <v>118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" customHeight="1" x14ac:dyDescent="0.4">
      <c r="A70" s="15"/>
      <c r="B70" s="15"/>
      <c r="C70" s="15" t="s">
        <v>119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" customHeight="1" x14ac:dyDescent="0.4">
      <c r="A71" s="15"/>
      <c r="B71" s="15"/>
      <c r="C71" s="15" t="s">
        <v>120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" customHeight="1" x14ac:dyDescent="0.4">
      <c r="A72" s="15"/>
      <c r="B72" s="15"/>
      <c r="C72" s="15" t="s">
        <v>121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" customHeight="1" x14ac:dyDescent="0.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" customHeight="1" x14ac:dyDescent="0.4">
      <c r="A74" s="15"/>
      <c r="B74" s="15"/>
      <c r="C74" s="15" t="s">
        <v>122</v>
      </c>
      <c r="D74" s="15"/>
      <c r="E74" s="15"/>
      <c r="F74" s="15"/>
      <c r="G74" s="15"/>
      <c r="H74" s="15"/>
      <c r="I74" s="15"/>
      <c r="J74" s="15"/>
      <c r="K74" s="15"/>
      <c r="L74" s="15" t="s">
        <v>123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" customHeight="1" x14ac:dyDescent="0.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" customHeight="1" x14ac:dyDescent="0.4">
      <c r="A76" s="15"/>
      <c r="B76" s="15"/>
      <c r="C76" s="15" t="s">
        <v>124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" customHeight="1" x14ac:dyDescent="0.4">
      <c r="A77" s="15"/>
      <c r="B77" s="15"/>
      <c r="C77" s="15" t="s">
        <v>125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" customHeight="1" x14ac:dyDescent="0.4">
      <c r="A78" s="15"/>
      <c r="B78" s="15"/>
      <c r="C78" s="15" t="s">
        <v>126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" customHeight="1" x14ac:dyDescent="0.4">
      <c r="A79" s="15"/>
      <c r="B79" s="15"/>
      <c r="C79" s="15" t="s">
        <v>127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" customHeight="1" x14ac:dyDescent="0.4">
      <c r="A80" s="15"/>
      <c r="B80" s="15"/>
      <c r="C80" s="15" t="s">
        <v>128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" customHeight="1" x14ac:dyDescent="0.4">
      <c r="A81" s="15"/>
      <c r="B81" s="15"/>
      <c r="C81" s="15" t="s">
        <v>129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" customHeight="1" x14ac:dyDescent="0.4">
      <c r="A82" s="15"/>
      <c r="B82" s="15"/>
      <c r="C82" s="15" t="s">
        <v>130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" customHeight="1" x14ac:dyDescent="0.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" customHeight="1" x14ac:dyDescent="0.4">
      <c r="A84" s="15"/>
      <c r="B84" s="15" t="s">
        <v>131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" customHeight="1" x14ac:dyDescent="0.4">
      <c r="A85" s="15"/>
      <c r="B85" s="15"/>
      <c r="C85" s="15" t="s">
        <v>132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" customHeight="1" x14ac:dyDescent="0.4">
      <c r="A86" s="15"/>
      <c r="B86" s="15"/>
      <c r="C86" s="15" t="s">
        <v>133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" customHeight="1" x14ac:dyDescent="0.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" customHeight="1" x14ac:dyDescent="0.4">
      <c r="A88" s="15"/>
      <c r="B88" s="15" t="s">
        <v>134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" customHeight="1" x14ac:dyDescent="0.4">
      <c r="A89" s="15"/>
      <c r="B89" s="15"/>
      <c r="C89" s="15" t="s">
        <v>135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" customHeight="1" x14ac:dyDescent="0.4">
      <c r="A90" s="15"/>
      <c r="B90" s="15"/>
      <c r="C90" s="15" t="s">
        <v>136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" customHeight="1" x14ac:dyDescent="0.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" customHeight="1" x14ac:dyDescent="0.4">
      <c r="A92" s="15"/>
      <c r="B92" s="15" t="s">
        <v>137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" customHeight="1" x14ac:dyDescent="0.4">
      <c r="A93" s="15"/>
      <c r="B93" s="15"/>
      <c r="C93" s="15" t="s">
        <v>138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" customHeight="1" x14ac:dyDescent="0.4">
      <c r="A94" s="15"/>
      <c r="B94" s="15"/>
      <c r="C94" s="15" t="s">
        <v>139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" customHeight="1" x14ac:dyDescent="0.4">
      <c r="A95" s="15"/>
      <c r="B95" s="15"/>
      <c r="C95" s="15" t="s">
        <v>140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" customHeight="1" x14ac:dyDescent="0.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" customHeight="1" x14ac:dyDescent="0.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" customHeight="1" x14ac:dyDescent="0.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" customHeight="1" x14ac:dyDescent="0.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" customHeight="1" x14ac:dyDescent="0.4">
      <c r="A100" s="15"/>
      <c r="B100" s="15" t="s">
        <v>141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" customHeight="1" x14ac:dyDescent="0.4">
      <c r="B101" t="s">
        <v>142</v>
      </c>
    </row>
    <row r="102" spans="1:26" ht="15" customHeight="1" x14ac:dyDescent="0.4">
      <c r="B102" t="s">
        <v>143</v>
      </c>
    </row>
    <row r="103" spans="1:26" ht="15" customHeight="1" x14ac:dyDescent="0.4">
      <c r="C103" t="s">
        <v>144</v>
      </c>
    </row>
    <row r="104" spans="1:26" ht="15" customHeight="1" x14ac:dyDescent="0.4">
      <c r="C104" t="s">
        <v>145</v>
      </c>
    </row>
    <row r="105" spans="1:26" ht="15" customHeight="1" x14ac:dyDescent="0.4">
      <c r="C105" t="s">
        <v>146</v>
      </c>
    </row>
    <row r="106" spans="1:26" ht="15" customHeight="1" x14ac:dyDescent="0.4"/>
    <row r="107" spans="1:26" ht="15" customHeight="1" x14ac:dyDescent="0.4"/>
    <row r="108" spans="1:26" ht="15" customHeight="1" x14ac:dyDescent="0.4"/>
    <row r="109" spans="1:26" ht="15" customHeight="1" x14ac:dyDescent="0.4"/>
    <row r="110" spans="1:26" ht="15" customHeight="1" x14ac:dyDescent="0.4"/>
    <row r="111" spans="1:26" ht="15" customHeight="1" x14ac:dyDescent="0.4"/>
    <row r="112" spans="1:26" ht="15" customHeight="1" x14ac:dyDescent="0.4"/>
    <row r="113" ht="15" customHeight="1" x14ac:dyDescent="0.4"/>
    <row r="114" ht="15" customHeight="1" x14ac:dyDescent="0.4"/>
    <row r="115" ht="15" customHeight="1" x14ac:dyDescent="0.4"/>
    <row r="116" ht="15" customHeight="1" x14ac:dyDescent="0.4"/>
    <row r="117" ht="15" customHeight="1" x14ac:dyDescent="0.4"/>
    <row r="118" ht="15" customHeight="1" x14ac:dyDescent="0.4"/>
    <row r="119" ht="15" customHeight="1" x14ac:dyDescent="0.4"/>
    <row r="120" ht="15" customHeight="1" x14ac:dyDescent="0.4"/>
    <row r="121" ht="15" customHeight="1" x14ac:dyDescent="0.4"/>
    <row r="122" ht="15" customHeight="1" x14ac:dyDescent="0.4"/>
    <row r="123" ht="15" customHeight="1" x14ac:dyDescent="0.4"/>
    <row r="124" ht="15" customHeight="1" x14ac:dyDescent="0.4"/>
    <row r="125" ht="15" customHeight="1" x14ac:dyDescent="0.4"/>
    <row r="126" ht="15" customHeight="1" x14ac:dyDescent="0.4"/>
    <row r="127" ht="15" customHeight="1" x14ac:dyDescent="0.4"/>
    <row r="128" ht="15" customHeight="1" x14ac:dyDescent="0.4"/>
    <row r="129" ht="15" customHeight="1" x14ac:dyDescent="0.4"/>
    <row r="130" ht="15" customHeight="1" x14ac:dyDescent="0.4"/>
    <row r="131" ht="15" customHeight="1" x14ac:dyDescent="0.4"/>
    <row r="132" ht="15" customHeight="1" x14ac:dyDescent="0.4"/>
    <row r="133" ht="15" customHeight="1" x14ac:dyDescent="0.4"/>
    <row r="134" ht="15" customHeight="1" x14ac:dyDescent="0.4"/>
    <row r="135" ht="15" customHeight="1" x14ac:dyDescent="0.4"/>
    <row r="136" ht="15" customHeight="1" x14ac:dyDescent="0.4"/>
    <row r="137" ht="15" customHeight="1" x14ac:dyDescent="0.4"/>
    <row r="138" ht="15" customHeight="1" x14ac:dyDescent="0.4"/>
    <row r="139" ht="15" customHeight="1" x14ac:dyDescent="0.4"/>
    <row r="140" ht="15" customHeight="1" x14ac:dyDescent="0.4"/>
    <row r="141" ht="15" customHeight="1" x14ac:dyDescent="0.4"/>
    <row r="142" ht="15" customHeight="1" x14ac:dyDescent="0.4"/>
    <row r="143" ht="15" customHeight="1" x14ac:dyDescent="0.4"/>
    <row r="144" ht="15" customHeight="1" x14ac:dyDescent="0.4"/>
    <row r="145" ht="15" customHeight="1" x14ac:dyDescent="0.4"/>
    <row r="146" ht="15" customHeight="1" x14ac:dyDescent="0.4"/>
    <row r="147" ht="15" customHeight="1" x14ac:dyDescent="0.4"/>
    <row r="148" ht="15" customHeight="1" x14ac:dyDescent="0.4"/>
    <row r="149" ht="15" customHeight="1" x14ac:dyDescent="0.4"/>
    <row r="150" ht="15" customHeight="1" x14ac:dyDescent="0.4"/>
    <row r="151" ht="15" customHeight="1" x14ac:dyDescent="0.4"/>
    <row r="152" ht="15" customHeight="1" x14ac:dyDescent="0.4"/>
    <row r="153" ht="15" customHeight="1" x14ac:dyDescent="0.4"/>
    <row r="154" ht="15" customHeight="1" x14ac:dyDescent="0.4"/>
    <row r="155" ht="15" customHeight="1" x14ac:dyDescent="0.4"/>
    <row r="156" ht="15" customHeight="1" x14ac:dyDescent="0.4"/>
    <row r="157" ht="15" customHeight="1" x14ac:dyDescent="0.4"/>
    <row r="158" ht="15" customHeight="1" x14ac:dyDescent="0.4"/>
    <row r="159" ht="15" customHeight="1" x14ac:dyDescent="0.4"/>
    <row r="160" ht="15" customHeight="1" x14ac:dyDescent="0.4"/>
    <row r="161" ht="15" customHeight="1" x14ac:dyDescent="0.4"/>
    <row r="162" ht="15" customHeight="1" x14ac:dyDescent="0.4"/>
    <row r="163" ht="15" customHeight="1" x14ac:dyDescent="0.4"/>
    <row r="164" ht="15" customHeight="1" x14ac:dyDescent="0.4"/>
    <row r="165" ht="15" customHeight="1" x14ac:dyDescent="0.4"/>
    <row r="166" ht="15" customHeight="1" x14ac:dyDescent="0.4"/>
    <row r="167" ht="15" customHeight="1" x14ac:dyDescent="0.4"/>
    <row r="168" ht="15" customHeight="1" x14ac:dyDescent="0.4"/>
    <row r="169" ht="15" customHeight="1" x14ac:dyDescent="0.4"/>
    <row r="170" ht="15" customHeight="1" x14ac:dyDescent="0.4"/>
    <row r="171" ht="15" customHeight="1" x14ac:dyDescent="0.4"/>
    <row r="172" ht="15" customHeight="1" x14ac:dyDescent="0.4"/>
    <row r="173" ht="15" customHeight="1" x14ac:dyDescent="0.4"/>
    <row r="174" ht="15" customHeight="1" x14ac:dyDescent="0.4"/>
    <row r="175" ht="15" customHeight="1" x14ac:dyDescent="0.4"/>
    <row r="176" ht="15" customHeight="1" x14ac:dyDescent="0.4"/>
    <row r="177" ht="15" customHeight="1" x14ac:dyDescent="0.4"/>
    <row r="178" ht="15" customHeight="1" x14ac:dyDescent="0.4"/>
    <row r="179" ht="15" customHeight="1" x14ac:dyDescent="0.4"/>
    <row r="180" ht="15" customHeight="1" x14ac:dyDescent="0.4"/>
    <row r="181" ht="15" customHeight="1" x14ac:dyDescent="0.4"/>
    <row r="182" ht="15" customHeight="1" x14ac:dyDescent="0.4"/>
    <row r="183" ht="15" customHeight="1" x14ac:dyDescent="0.4"/>
    <row r="184" ht="15" customHeight="1" x14ac:dyDescent="0.4"/>
    <row r="185" ht="15" customHeight="1" x14ac:dyDescent="0.4"/>
    <row r="186" ht="15" customHeight="1" x14ac:dyDescent="0.4"/>
    <row r="187" ht="15" customHeight="1" x14ac:dyDescent="0.4"/>
    <row r="188" ht="15" customHeight="1" x14ac:dyDescent="0.4"/>
    <row r="189" ht="15" customHeight="1" x14ac:dyDescent="0.4"/>
    <row r="190" ht="15" customHeight="1" x14ac:dyDescent="0.4"/>
    <row r="191" ht="15" customHeight="1" x14ac:dyDescent="0.4"/>
    <row r="192" ht="15" customHeight="1" x14ac:dyDescent="0.4"/>
    <row r="193" ht="15" customHeight="1" x14ac:dyDescent="0.4"/>
    <row r="194" ht="15" customHeight="1" x14ac:dyDescent="0.4"/>
    <row r="195" ht="15" customHeight="1" x14ac:dyDescent="0.4"/>
    <row r="196" ht="15" customHeight="1" x14ac:dyDescent="0.4"/>
    <row r="197" ht="15" customHeight="1" x14ac:dyDescent="0.4"/>
    <row r="198" ht="15" customHeight="1" x14ac:dyDescent="0.4"/>
    <row r="199" ht="15" customHeight="1" x14ac:dyDescent="0.4"/>
    <row r="200" ht="15" customHeight="1" x14ac:dyDescent="0.4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2"/>
  <sheetViews>
    <sheetView workbookViewId="0">
      <selection activeCell="H17" sqref="H17"/>
    </sheetView>
  </sheetViews>
  <sheetFormatPr defaultRowHeight="17.399999999999999" x14ac:dyDescent="0.4"/>
  <cols>
    <col min="1" max="1" width="10.796875" bestFit="1" customWidth="1"/>
    <col min="4" max="4" width="10.796875" bestFit="1" customWidth="1"/>
  </cols>
  <sheetData>
    <row r="2" spans="1:9" x14ac:dyDescent="0.4">
      <c r="B2" t="s">
        <v>31</v>
      </c>
      <c r="C2" t="s">
        <v>24</v>
      </c>
      <c r="D2" s="8" t="s">
        <v>26</v>
      </c>
      <c r="E2" t="s">
        <v>28</v>
      </c>
      <c r="G2" t="s">
        <v>25</v>
      </c>
      <c r="H2" t="s">
        <v>30</v>
      </c>
      <c r="I2" t="s">
        <v>32</v>
      </c>
    </row>
    <row r="3" spans="1:9" x14ac:dyDescent="0.4">
      <c r="A3" t="s">
        <v>22</v>
      </c>
      <c r="B3">
        <v>1</v>
      </c>
      <c r="C3">
        <f>1/B3</f>
        <v>1</v>
      </c>
      <c r="D3" s="7">
        <f>($G$3*$H$3*$B$10*1000*$I$3)/(B3+C3)</f>
        <v>1320637.5</v>
      </c>
      <c r="E3">
        <f>DEGREES(ATAN(C3))</f>
        <v>45</v>
      </c>
      <c r="G3">
        <v>0.51600000000000001</v>
      </c>
      <c r="H3">
        <f>Sheet1!C7</f>
        <v>0.65</v>
      </c>
      <c r="I3">
        <v>225</v>
      </c>
    </row>
    <row r="4" spans="1:9" x14ac:dyDescent="0.4">
      <c r="A4" t="s">
        <v>23</v>
      </c>
      <c r="B4">
        <v>2.5</v>
      </c>
      <c r="C4">
        <f>1/B4</f>
        <v>0.4</v>
      </c>
      <c r="D4" s="7">
        <f>($G$3*$H$3*$B$10*1000*$I$3)/(B4+C4)</f>
        <v>910784.48275862075</v>
      </c>
      <c r="E4">
        <f>DEGREES(ATAN(C4))</f>
        <v>21.801409486351812</v>
      </c>
    </row>
    <row r="5" spans="1:9" x14ac:dyDescent="0.4">
      <c r="B5">
        <f>1/C5</f>
        <v>0.83909963117728004</v>
      </c>
      <c r="C5">
        <f>TAN(RADIANS(E5))</f>
        <v>1.19175359259421</v>
      </c>
      <c r="E5">
        <v>50</v>
      </c>
    </row>
    <row r="7" spans="1:9" x14ac:dyDescent="0.4">
      <c r="B7">
        <f>TAN(RADIANS(22.15))</f>
        <v>0.40707480524400674</v>
      </c>
      <c r="C7">
        <f>1/B7</f>
        <v>2.4565509511220793</v>
      </c>
    </row>
    <row r="9" spans="1:9" x14ac:dyDescent="0.4">
      <c r="A9" t="s">
        <v>29</v>
      </c>
      <c r="B9" t="s">
        <v>27</v>
      </c>
    </row>
    <row r="10" spans="1:9" x14ac:dyDescent="0.4">
      <c r="A10" s="7">
        <v>1154500</v>
      </c>
      <c r="B10">
        <v>35</v>
      </c>
      <c r="C10" t="e">
        <f>A10/(0.2*B10*(1-B10/250)*B11*I3)</f>
        <v>#DIV/0!</v>
      </c>
      <c r="D10" t="e">
        <f>0.5*ASIN(C10)</f>
        <v>#DIV/0!</v>
      </c>
      <c r="E10" t="e">
        <f>DEGREES(D10)</f>
        <v>#DIV/0!</v>
      </c>
      <c r="F10" t="e">
        <f>1/TAN(D10)</f>
        <v>#DIV/0!</v>
      </c>
    </row>
    <row r="11" spans="1:9" x14ac:dyDescent="0.4">
      <c r="B11">
        <f>Sheet1!L4</f>
        <v>0</v>
      </c>
    </row>
    <row r="12" spans="1:9" x14ac:dyDescent="0.4">
      <c r="B12">
        <f>Sheet1!K4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단면2극한</vt:lpstr>
      <vt:lpstr>단면1극단</vt:lpstr>
      <vt:lpstr>단면1극한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Seoljm</dc:creator>
  <cp:lastModifiedBy>ysj</cp:lastModifiedBy>
  <dcterms:created xsi:type="dcterms:W3CDTF">2022-11-23T06:51:34Z</dcterms:created>
  <dcterms:modified xsi:type="dcterms:W3CDTF">2023-02-11T19:16:57Z</dcterms:modified>
</cp:coreProperties>
</file>