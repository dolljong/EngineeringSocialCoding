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SC\seol\230117\"/>
    </mc:Choice>
  </mc:AlternateContent>
  <xr:revisionPtr revIDLastSave="0" documentId="13_ncr:1_{4BD71E70-9B38-4857-BFDA-C9F4D0B7C9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1" i="1"/>
  <c r="B12" i="3" l="1"/>
  <c r="B11" i="3"/>
  <c r="C10" i="3" s="1"/>
  <c r="H3" i="3"/>
  <c r="C5" i="3"/>
  <c r="E4" i="3"/>
  <c r="E3" i="3"/>
  <c r="B7" i="3"/>
  <c r="C7" i="3" s="1"/>
  <c r="C4" i="3"/>
  <c r="C3" i="3"/>
  <c r="D4" i="3" l="1"/>
  <c r="D3" i="3"/>
  <c r="D10" i="3"/>
  <c r="E10" i="3" s="1"/>
  <c r="F10" i="3" l="1"/>
  <c r="B5" i="3" l="1"/>
</calcChain>
</file>

<file path=xl/sharedStrings.xml><?xml version="1.0" encoding="utf-8"?>
<sst xmlns="http://schemas.openxmlformats.org/spreadsheetml/2006/main" count="57" uniqueCount="48">
  <si>
    <t>Φc</t>
    <phoneticPr fontId="1" type="noConversion"/>
  </si>
  <si>
    <t>Φs</t>
    <phoneticPr fontId="1" type="noConversion"/>
  </si>
  <si>
    <t>b(mm)</t>
    <phoneticPr fontId="1" type="noConversion"/>
  </si>
  <si>
    <t>H(mm)</t>
    <phoneticPr fontId="1" type="noConversion"/>
  </si>
  <si>
    <t>Mu(kN.m)</t>
    <phoneticPr fontId="1" type="noConversion"/>
  </si>
  <si>
    <t>Vu(kN)</t>
    <phoneticPr fontId="1" type="noConversion"/>
  </si>
  <si>
    <t>Nu(kN)</t>
    <phoneticPr fontId="1" type="noConversion"/>
  </si>
  <si>
    <t>개수</t>
    <phoneticPr fontId="1" type="noConversion"/>
  </si>
  <si>
    <t>피복(mm)</t>
    <phoneticPr fontId="1" type="noConversion"/>
  </si>
  <si>
    <t>직경(mm)</t>
    <phoneticPr fontId="1" type="noConversion"/>
  </si>
  <si>
    <t>1단</t>
    <phoneticPr fontId="1" type="noConversion"/>
  </si>
  <si>
    <t>2단</t>
    <phoneticPr fontId="1" type="noConversion"/>
  </si>
  <si>
    <t>3단</t>
    <phoneticPr fontId="1" type="noConversion"/>
  </si>
  <si>
    <t>fck(Mpa)</t>
    <phoneticPr fontId="1" type="noConversion"/>
  </si>
  <si>
    <t>fy(Mpa)</t>
    <phoneticPr fontId="1" type="noConversion"/>
  </si>
  <si>
    <t>간격(mm)</t>
    <phoneticPr fontId="1" type="noConversion"/>
  </si>
  <si>
    <t>적용 θ</t>
    <phoneticPr fontId="1" type="noConversion"/>
  </si>
  <si>
    <t>직접입력</t>
    <phoneticPr fontId="1" type="noConversion"/>
  </si>
  <si>
    <t>중간값적용</t>
    <phoneticPr fontId="1" type="noConversion"/>
  </si>
  <si>
    <t>cotθ</t>
    <phoneticPr fontId="1" type="noConversion"/>
  </si>
  <si>
    <t>자동산출</t>
    <phoneticPr fontId="1" type="noConversion"/>
  </si>
  <si>
    <t>α(도)</t>
    <phoneticPr fontId="1" type="noConversion"/>
  </si>
  <si>
    <t>cot θ1</t>
    <phoneticPr fontId="1" type="noConversion"/>
  </si>
  <si>
    <t>cot θ2</t>
  </si>
  <si>
    <t>tan θ</t>
    <phoneticPr fontId="1" type="noConversion"/>
  </si>
  <si>
    <t>v</t>
    <phoneticPr fontId="1" type="noConversion"/>
  </si>
  <si>
    <t>Vsd,max</t>
    <phoneticPr fontId="1" type="noConversion"/>
  </si>
  <si>
    <t>fck</t>
    <phoneticPr fontId="1" type="noConversion"/>
  </si>
  <si>
    <t>각도</t>
    <phoneticPr fontId="1" type="noConversion"/>
  </si>
  <si>
    <t>Vu</t>
    <phoneticPr fontId="1" type="noConversion"/>
  </si>
  <si>
    <t>Φc</t>
    <phoneticPr fontId="1" type="noConversion"/>
  </si>
  <si>
    <t>cot θ</t>
    <phoneticPr fontId="1" type="noConversion"/>
  </si>
  <si>
    <t>z</t>
    <phoneticPr fontId="1" type="noConversion"/>
  </si>
  <si>
    <t>Ms-1(kN.m)</t>
    <phoneticPr fontId="1" type="noConversion"/>
  </si>
  <si>
    <t>Ms-5(kN.m)</t>
    <phoneticPr fontId="1" type="noConversion"/>
  </si>
  <si>
    <t>균열검토</t>
    <phoneticPr fontId="1" type="noConversion"/>
  </si>
  <si>
    <t>간접균열제어</t>
    <phoneticPr fontId="1" type="noConversion"/>
  </si>
  <si>
    <t>동시검토</t>
    <phoneticPr fontId="1" type="noConversion"/>
  </si>
  <si>
    <t>균열검토방법</t>
    <phoneticPr fontId="1" type="noConversion"/>
  </si>
  <si>
    <t>한계상태</t>
    <phoneticPr fontId="1" type="noConversion"/>
  </si>
  <si>
    <t>극단상황한계</t>
    <phoneticPr fontId="1" type="noConversion"/>
  </si>
  <si>
    <t xml:space="preserve">  ＊ 재료특성(datalist)</t>
    <phoneticPr fontId="1" type="noConversion"/>
  </si>
  <si>
    <t xml:space="preserve">  ＊ 단면제원(datalist3)</t>
    <phoneticPr fontId="1" type="noConversion"/>
  </si>
  <si>
    <t xml:space="preserve">  ＊ 사용 휨철근량(datalist4)</t>
    <phoneticPr fontId="1" type="noConversion"/>
  </si>
  <si>
    <t xml:space="preserve">  ＊ 사용 전단철근량(datalist5)</t>
    <phoneticPr fontId="1" type="noConversion"/>
  </si>
  <si>
    <t xml:space="preserve">  ＊ 산정 하중(datalist6~7)</t>
    <phoneticPr fontId="1" type="noConversion"/>
  </si>
  <si>
    <t xml:space="preserve">  ＊ 재료계수(datalist1~2)</t>
    <phoneticPr fontId="1" type="noConversion"/>
  </si>
  <si>
    <t>극한한계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</si>
</sst>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3" dropStyle="combo" dx="16" fmlaLink="$F$18" fmlaRange="$M$18:$M$20" noThreeD="1" sel="3" val="0"/>
</file>

<file path=xl/ctrlProps/ctrlProp2.xml><?xml version="1.0" encoding="utf-8"?>
<formControlPr xmlns="http://schemas.microsoft.com/office/spreadsheetml/2009/9/main" objectType="Drop" dropLines="3" dropStyle="combo" dx="16" fmlaLink="$H$21" fmlaRange="$M$22:$M$24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6</xdr:col>
          <xdr:colOff>0</xdr:colOff>
          <xdr:row>18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8</xdr:col>
          <xdr:colOff>0</xdr:colOff>
          <xdr:row>21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4"/>
  <sheetViews>
    <sheetView tabSelected="1" workbookViewId="0">
      <selection activeCell="I7" sqref="I7"/>
    </sheetView>
  </sheetViews>
  <sheetFormatPr defaultColWidth="9" defaultRowHeight="15" customHeight="1" x14ac:dyDescent="0.45"/>
  <cols>
    <col min="1" max="2" width="2.58203125" style="1" customWidth="1"/>
    <col min="3" max="12" width="9.58203125" style="1" customWidth="1"/>
    <col min="13" max="13" width="10.5" style="1" bestFit="1" customWidth="1"/>
    <col min="14" max="16384" width="9" style="1"/>
  </cols>
  <sheetData>
    <row r="2" spans="1:12" ht="15" customHeight="1" x14ac:dyDescent="0.45">
      <c r="B2" s="1" t="s">
        <v>41</v>
      </c>
    </row>
    <row r="3" spans="1:12" ht="15" customHeight="1" x14ac:dyDescent="0.45">
      <c r="C3" s="4" t="s">
        <v>13</v>
      </c>
      <c r="D3" s="4" t="s">
        <v>14</v>
      </c>
      <c r="G3" s="9"/>
      <c r="H3" s="9"/>
      <c r="I3" s="9"/>
      <c r="J3" s="9"/>
      <c r="K3" s="9"/>
      <c r="L3" s="9"/>
    </row>
    <row r="4" spans="1:12" ht="15" customHeight="1" x14ac:dyDescent="0.45">
      <c r="A4" s="2"/>
      <c r="B4" s="2"/>
      <c r="C4" s="3">
        <v>35</v>
      </c>
      <c r="D4" s="3">
        <v>500</v>
      </c>
      <c r="G4" s="9"/>
      <c r="H4" s="9"/>
      <c r="I4" s="9"/>
      <c r="J4" s="9"/>
      <c r="K4" s="9"/>
      <c r="L4" s="9"/>
    </row>
    <row r="5" spans="1:12" ht="15" customHeight="1" x14ac:dyDescent="0.45">
      <c r="A5" s="2"/>
      <c r="B5" s="1" t="s">
        <v>46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5" customHeight="1" x14ac:dyDescent="0.45">
      <c r="A6" s="2"/>
      <c r="B6" s="2"/>
      <c r="C6" s="4" t="s">
        <v>0</v>
      </c>
      <c r="D6" s="4" t="s">
        <v>1</v>
      </c>
      <c r="E6" s="4" t="s">
        <v>39</v>
      </c>
      <c r="F6" s="9"/>
      <c r="G6" s="9"/>
      <c r="H6" s="9"/>
      <c r="I6" s="9"/>
      <c r="J6" s="9"/>
      <c r="K6" s="9"/>
      <c r="L6" s="9"/>
    </row>
    <row r="7" spans="1:12" ht="15" customHeight="1" x14ac:dyDescent="0.45">
      <c r="A7" s="2"/>
      <c r="B7" s="2"/>
      <c r="C7" s="3">
        <v>0.65</v>
      </c>
      <c r="D7" s="3">
        <v>0.9</v>
      </c>
      <c r="E7" s="3" t="s">
        <v>47</v>
      </c>
      <c r="F7" s="9"/>
      <c r="G7" s="9"/>
      <c r="H7" s="9"/>
      <c r="I7" s="9"/>
      <c r="J7" s="9"/>
      <c r="K7" s="9"/>
      <c r="L7" s="9"/>
    </row>
    <row r="8" spans="1:12" ht="15" customHeight="1" x14ac:dyDescent="0.45">
      <c r="A8" s="2"/>
      <c r="B8" s="2"/>
      <c r="C8" s="3">
        <v>1</v>
      </c>
      <c r="D8" s="3">
        <v>1</v>
      </c>
      <c r="E8" s="3" t="s">
        <v>40</v>
      </c>
      <c r="F8" s="9"/>
      <c r="G8" s="9"/>
      <c r="H8" s="9"/>
      <c r="I8" s="9"/>
      <c r="J8" s="9"/>
      <c r="K8" s="9"/>
      <c r="L8" s="9"/>
    </row>
    <row r="9" spans="1:12" ht="15" customHeight="1" x14ac:dyDescent="0.45">
      <c r="A9" s="2"/>
      <c r="B9" s="1" t="s">
        <v>42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ht="15" customHeight="1" x14ac:dyDescent="0.45">
      <c r="A10" s="2"/>
      <c r="B10" s="2"/>
      <c r="C10" s="4" t="s">
        <v>3</v>
      </c>
      <c r="D10" s="4" t="s">
        <v>2</v>
      </c>
      <c r="E10" s="9"/>
      <c r="F10" s="9"/>
      <c r="G10" s="9"/>
      <c r="H10" s="9"/>
      <c r="I10" s="9"/>
      <c r="J10" s="9"/>
      <c r="K10" s="9"/>
      <c r="L10" s="9"/>
    </row>
    <row r="11" spans="1:12" ht="15" customHeight="1" x14ac:dyDescent="0.45">
      <c r="A11" s="2"/>
      <c r="B11" s="2"/>
      <c r="C11" s="3">
        <v>800</v>
      </c>
      <c r="D11" s="3">
        <v>1000</v>
      </c>
      <c r="E11" s="9"/>
      <c r="F11" s="9"/>
      <c r="G11" s="9"/>
      <c r="H11" s="9"/>
      <c r="I11" s="9"/>
      <c r="J11" s="9"/>
      <c r="K11" s="9"/>
      <c r="L11" s="9"/>
    </row>
    <row r="12" spans="1:12" ht="15" customHeight="1" x14ac:dyDescent="0.45">
      <c r="A12" s="2"/>
      <c r="B12" s="1" t="s">
        <v>43</v>
      </c>
    </row>
    <row r="13" spans="1:12" ht="15" customHeight="1" x14ac:dyDescent="0.45">
      <c r="A13" s="2"/>
      <c r="B13" s="2"/>
      <c r="C13" s="11" t="s">
        <v>10</v>
      </c>
      <c r="D13" s="11"/>
      <c r="E13" s="11"/>
      <c r="F13" s="11" t="s">
        <v>11</v>
      </c>
      <c r="G13" s="11"/>
      <c r="H13" s="11"/>
      <c r="I13" s="11" t="s">
        <v>12</v>
      </c>
      <c r="J13" s="11"/>
      <c r="K13" s="11"/>
    </row>
    <row r="14" spans="1:12" ht="15" customHeight="1" x14ac:dyDescent="0.45">
      <c r="A14" s="2"/>
      <c r="B14" s="2"/>
      <c r="C14" s="4" t="s">
        <v>9</v>
      </c>
      <c r="D14" s="4" t="s">
        <v>7</v>
      </c>
      <c r="E14" s="4" t="s">
        <v>8</v>
      </c>
      <c r="F14" s="4" t="s">
        <v>9</v>
      </c>
      <c r="G14" s="4" t="s">
        <v>7</v>
      </c>
      <c r="H14" s="4" t="s">
        <v>8</v>
      </c>
      <c r="I14" s="4" t="s">
        <v>9</v>
      </c>
      <c r="J14" s="4" t="s">
        <v>7</v>
      </c>
      <c r="K14" s="4" t="s">
        <v>8</v>
      </c>
    </row>
    <row r="15" spans="1:12" ht="15" customHeight="1" x14ac:dyDescent="0.45">
      <c r="A15" s="2"/>
      <c r="B15" s="2"/>
      <c r="C15" s="3">
        <v>22</v>
      </c>
      <c r="D15" s="3">
        <v>8</v>
      </c>
      <c r="E15" s="3">
        <v>100</v>
      </c>
      <c r="F15" s="3">
        <v>22</v>
      </c>
      <c r="G15" s="3">
        <v>4</v>
      </c>
      <c r="H15" s="3">
        <v>200</v>
      </c>
      <c r="I15" s="3">
        <v>0</v>
      </c>
      <c r="J15" s="3">
        <v>0</v>
      </c>
      <c r="K15" s="3">
        <v>0</v>
      </c>
    </row>
    <row r="16" spans="1:12" ht="15" customHeight="1" x14ac:dyDescent="0.45">
      <c r="A16" s="2"/>
      <c r="B16" s="1" t="s">
        <v>44</v>
      </c>
    </row>
    <row r="17" spans="1:13" ht="15" customHeight="1" x14ac:dyDescent="0.45">
      <c r="A17" s="2"/>
      <c r="B17" s="2"/>
      <c r="C17" s="4" t="s">
        <v>9</v>
      </c>
      <c r="D17" s="4" t="s">
        <v>7</v>
      </c>
      <c r="E17" s="4" t="s">
        <v>15</v>
      </c>
      <c r="F17" s="4" t="s">
        <v>16</v>
      </c>
      <c r="G17" s="4" t="s">
        <v>19</v>
      </c>
      <c r="H17" s="4" t="s">
        <v>21</v>
      </c>
    </row>
    <row r="18" spans="1:13" ht="15" customHeight="1" x14ac:dyDescent="0.45">
      <c r="C18" s="3">
        <v>16</v>
      </c>
      <c r="D18" s="3">
        <v>4</v>
      </c>
      <c r="E18" s="3">
        <v>300</v>
      </c>
      <c r="F18" s="3">
        <v>3</v>
      </c>
      <c r="G18" s="3">
        <v>2.5</v>
      </c>
      <c r="H18" s="3">
        <v>90</v>
      </c>
      <c r="M18" s="6" t="s">
        <v>17</v>
      </c>
    </row>
    <row r="19" spans="1:13" ht="15" customHeight="1" x14ac:dyDescent="0.45">
      <c r="B19" s="1" t="s">
        <v>45</v>
      </c>
      <c r="M19" s="6" t="s">
        <v>18</v>
      </c>
    </row>
    <row r="20" spans="1:13" ht="15" customHeight="1" x14ac:dyDescent="0.45">
      <c r="C20" s="5" t="s">
        <v>4</v>
      </c>
      <c r="D20" s="4" t="s">
        <v>5</v>
      </c>
      <c r="E20" s="4" t="s">
        <v>6</v>
      </c>
      <c r="F20" s="4" t="s">
        <v>33</v>
      </c>
      <c r="G20" s="4" t="s">
        <v>34</v>
      </c>
      <c r="H20" s="4" t="s">
        <v>38</v>
      </c>
      <c r="I20" s="4" t="s">
        <v>39</v>
      </c>
      <c r="M20" s="6" t="s">
        <v>20</v>
      </c>
    </row>
    <row r="21" spans="1:13" ht="15" customHeight="1" x14ac:dyDescent="0.45">
      <c r="C21" s="3">
        <v>179.76</v>
      </c>
      <c r="D21" s="3">
        <v>1071.048</v>
      </c>
      <c r="E21" s="3">
        <v>0</v>
      </c>
      <c r="F21" s="3">
        <v>244.17699999999999</v>
      </c>
      <c r="G21" s="3">
        <v>187.90899999999999</v>
      </c>
      <c r="H21" s="10">
        <v>3</v>
      </c>
      <c r="I21" s="3" t="str">
        <f>E7</f>
        <v>극한한계</v>
      </c>
    </row>
    <row r="22" spans="1:13" ht="15" customHeight="1" x14ac:dyDescent="0.45">
      <c r="C22" s="3">
        <v>215.71199999999999</v>
      </c>
      <c r="D22" s="3">
        <v>1285.2575999999999</v>
      </c>
      <c r="E22" s="3">
        <v>0</v>
      </c>
      <c r="F22" s="6">
        <v>0</v>
      </c>
      <c r="G22" s="6">
        <v>0</v>
      </c>
      <c r="H22" s="6">
        <v>0</v>
      </c>
      <c r="I22" s="3" t="str">
        <f>E8</f>
        <v>극단상황한계</v>
      </c>
      <c r="M22" s="6" t="s">
        <v>35</v>
      </c>
    </row>
    <row r="23" spans="1:13" ht="15" customHeight="1" x14ac:dyDescent="0.45">
      <c r="M23" s="6" t="s">
        <v>36</v>
      </c>
    </row>
    <row r="24" spans="1:13" ht="15" customHeight="1" x14ac:dyDescent="0.45">
      <c r="M24" s="6" t="s">
        <v>37</v>
      </c>
    </row>
  </sheetData>
  <mergeCells count="3">
    <mergeCell ref="I13:K13"/>
    <mergeCell ref="C13:E13"/>
    <mergeCell ref="F13:H13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5</xdr:col>
                    <xdr:colOff>0</xdr:colOff>
                    <xdr:row>17</xdr:row>
                    <xdr:rowOff>0</xdr:rowOff>
                  </from>
                  <to>
                    <xdr:col>6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7</xdr:col>
                    <xdr:colOff>0</xdr:colOff>
                    <xdr:row>20</xdr:row>
                    <xdr:rowOff>0</xdr:rowOff>
                  </from>
                  <to>
                    <xdr:col>8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2"/>
  <sheetViews>
    <sheetView workbookViewId="0">
      <selection activeCell="F16" sqref="F16"/>
    </sheetView>
  </sheetViews>
  <sheetFormatPr defaultRowHeight="17" x14ac:dyDescent="0.45"/>
  <cols>
    <col min="1" max="1" width="10.83203125" bestFit="1" customWidth="1"/>
    <col min="4" max="4" width="10.83203125" bestFit="1" customWidth="1"/>
  </cols>
  <sheetData>
    <row r="2" spans="1:9" x14ac:dyDescent="0.45">
      <c r="B2" t="s">
        <v>31</v>
      </c>
      <c r="C2" t="s">
        <v>24</v>
      </c>
      <c r="D2" s="8" t="s">
        <v>26</v>
      </c>
      <c r="E2" t="s">
        <v>28</v>
      </c>
      <c r="G2" t="s">
        <v>25</v>
      </c>
      <c r="H2" t="s">
        <v>30</v>
      </c>
      <c r="I2" t="s">
        <v>32</v>
      </c>
    </row>
    <row r="3" spans="1:9" x14ac:dyDescent="0.45">
      <c r="A3" t="s">
        <v>22</v>
      </c>
      <c r="B3">
        <v>1</v>
      </c>
      <c r="C3">
        <f>1/B3</f>
        <v>1</v>
      </c>
      <c r="D3" s="7">
        <f>($G$3*$H$3*$B$10*1000*$I$3)/(B3+C3)</f>
        <v>1320637.5</v>
      </c>
      <c r="E3">
        <f>DEGREES(ATAN(C3))</f>
        <v>45</v>
      </c>
      <c r="G3">
        <v>0.51600000000000001</v>
      </c>
      <c r="H3">
        <f>Sheet1!C7</f>
        <v>0.65</v>
      </c>
      <c r="I3">
        <v>225</v>
      </c>
    </row>
    <row r="4" spans="1:9" x14ac:dyDescent="0.45">
      <c r="A4" t="s">
        <v>23</v>
      </c>
      <c r="B4">
        <v>2.5</v>
      </c>
      <c r="C4">
        <f>1/B4</f>
        <v>0.4</v>
      </c>
      <c r="D4" s="7">
        <f>($G$3*$H$3*$B$10*1000*$I$3)/(B4+C4)</f>
        <v>910784.48275862075</v>
      </c>
      <c r="E4">
        <f>DEGREES(ATAN(C4))</f>
        <v>21.801409486351812</v>
      </c>
    </row>
    <row r="5" spans="1:9" x14ac:dyDescent="0.45">
      <c r="B5">
        <f>1/C5</f>
        <v>0.83909963117728004</v>
      </c>
      <c r="C5">
        <f>TAN(RADIANS(E5))</f>
        <v>1.19175359259421</v>
      </c>
      <c r="E5">
        <v>50</v>
      </c>
    </row>
    <row r="7" spans="1:9" x14ac:dyDescent="0.45">
      <c r="B7">
        <f>TAN(RADIANS(22.15))</f>
        <v>0.40707480524400674</v>
      </c>
      <c r="C7">
        <f>1/B7</f>
        <v>2.4565509511220793</v>
      </c>
    </row>
    <row r="9" spans="1:9" x14ac:dyDescent="0.45">
      <c r="A9" t="s">
        <v>29</v>
      </c>
      <c r="B9" t="s">
        <v>27</v>
      </c>
    </row>
    <row r="10" spans="1:9" x14ac:dyDescent="0.45">
      <c r="A10" s="7">
        <v>1154500</v>
      </c>
      <c r="B10">
        <v>35</v>
      </c>
      <c r="C10" t="e">
        <f>A10/(0.2*B10*(1-B10/250)*B11*I3)</f>
        <v>#DIV/0!</v>
      </c>
      <c r="D10" t="e">
        <f>0.5*ASIN(C10)</f>
        <v>#DIV/0!</v>
      </c>
      <c r="E10" t="e">
        <f>DEGREES(D10)</f>
        <v>#DIV/0!</v>
      </c>
      <c r="F10" t="e">
        <f>1/TAN(D10)</f>
        <v>#DIV/0!</v>
      </c>
    </row>
    <row r="11" spans="1:9" x14ac:dyDescent="0.45">
      <c r="B11">
        <f>Sheet1!L4</f>
        <v>0</v>
      </c>
    </row>
    <row r="12" spans="1:9" x14ac:dyDescent="0.45">
      <c r="B12">
        <f>Sheet1!K4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Seoljm</dc:creator>
  <cp:lastModifiedBy>ysj</cp:lastModifiedBy>
  <dcterms:created xsi:type="dcterms:W3CDTF">2022-11-23T06:51:34Z</dcterms:created>
  <dcterms:modified xsi:type="dcterms:W3CDTF">2023-01-18T20:33:27Z</dcterms:modified>
</cp:coreProperties>
</file>